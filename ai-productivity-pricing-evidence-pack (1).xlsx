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01 Macro TFP" sheetId="2" state="visible" r:id="rId4"/>
    <sheet name="S02 Adoption Gap" sheetId="3" state="visible" r:id="rId5"/>
    <sheet name="S03 Labor Exposure" sheetId="4" state="visible" r:id="rId6"/>
    <sheet name="S04 Task Experiments" sheetId="5" state="visible" r:id="rId7"/>
    <sheet name="S05 Sector Value Bands" sheetId="6" state="visible" r:id="rId8"/>
    <sheet name="S06 Heterogeneity" sheetId="7" state="visible" r:id="rId9"/>
    <sheet name="S07 Pricing Ladder" sheetId="8" state="visible" r:id="rId10"/>
    <sheet name="S08 Pricing Cases" sheetId="9" state="visible" r:id="rId11"/>
    <sheet name="S09 Value Calculator" sheetId="10" state="visible" r:id="rId12"/>
    <sheet name="S10 Statista Benchmarks" sheetId="11" state="visible" r:id="rId13"/>
    <sheet name="Source Regist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<sst xmlns="http://schemas.openxmlformats.org/spreadsheetml/2006/main" count="560" uniqueCount="412">
  <si>
    <t xml:space="preserve">AI productivity and pricing evidence pack</t>
  </si>
  <si>
    <t xml:space="preserve">Insight</t>
  </si>
  <si>
    <t xml:space="preserve">This workbook is the source-of-truth dataset for the dossier “What is the real, quantified value of AI today?” Each numbered sheet is a chart-ready insight with source URLs and confidence notes.</t>
  </si>
  <si>
    <t xml:space="preserve">Source note</t>
  </si>
  <si>
    <t xml:space="preserve">Built from Statista Premium search results, CB Insights, academic papers, public macro sources, and vendor pricing pages compiled May 13, 2026.</t>
  </si>
  <si>
    <t xml:space="preserve">Sheet</t>
  </si>
  <si>
    <t xml:space="preserve">Purpose</t>
  </si>
  <si>
    <t xml:space="preserve">S01 Macro TFP</t>
  </si>
  <si>
    <t xml:space="preserve">Macro productivity estimates cluster far below “10x”: current estimates range from +0.07 to +1.5 pp/yr depending on assumptions.</t>
  </si>
  <si>
    <t xml:space="preserve">S02 Adoption Gap</t>
  </si>
  <si>
    <t xml:space="preserve">AI exposure is broad, but daily/intensive use remains much narrower than theoretical exposure.</t>
  </si>
  <si>
    <t xml:space="preserve">S03 Labor Exposure</t>
  </si>
  <si>
    <t xml:space="preserve">AI exposure is high in advanced economies, but exposure is not the same as displacement.</t>
  </si>
  <si>
    <t xml:space="preserve">S04 Task Experiments</t>
  </si>
  <si>
    <t xml:space="preserve">Controlled studies show strong task-level gains, mostly 14–55%, with important negative/null cases.</t>
  </si>
  <si>
    <t xml:space="preserve">S05 Sector Value Bands</t>
  </si>
  <si>
    <t xml:space="preserve">Value varies by workflow: writing and support are strong; senior complex software work is mixed.</t>
  </si>
  <si>
    <t xml:space="preserve">S06 Heterogeneity</t>
  </si>
  <si>
    <t xml:space="preserve">The most reliable effect is compression: junior/novice workers often gain more than experts.</t>
  </si>
  <si>
    <t xml:space="preserve">S07 Pricing Ladder</t>
  </si>
  <si>
    <t xml:space="preserve">20–30% value uplift supports model change and moderate premiums, not 10x pricing.</t>
  </si>
  <si>
    <t xml:space="preserve">S08 Pricing Cases</t>
  </si>
  <si>
    <t xml:space="preserve">Intercom, Salesforce, Microsoft, GitHub, and foundation models show hybrid pricing patterns.</t>
  </si>
  <si>
    <t xml:space="preserve">S09 Value Calculator</t>
  </si>
  <si>
    <t xml:space="preserve">Simple auditable formula translating addressable hours and uplift into monthly price capacity.</t>
  </si>
  <si>
    <t xml:space="preserve">S10 Statista Benchmarks</t>
  </si>
  <si>
    <t xml:space="preserve">Statista-sourced adoption, workforce-impact, productivity-forecast, and market-context benchmarks.</t>
  </si>
  <si>
    <t xml:space="preserve">Source Register</t>
  </si>
  <si>
    <t xml:space="preserve">All source URLs used in the workbook.</t>
  </si>
  <si>
    <t xml:space="preserve">Macro productivity estimates are material, not 10x</t>
  </si>
  <si>
    <t xml:space="preserve">The rigorous macro range is positive but modest: conservative estimates are around +0.07 to +0.6 pp annual TFP, while the optimistic Goldman scenario reaches +1.5 pp annual labor productivity during deployment.</t>
  </si>
  <si>
    <t xml:space="preserve">Source</t>
  </si>
  <si>
    <t xml:space="preserve">Year</t>
  </si>
  <si>
    <t xml:space="preserve">Annual uplift (pp)</t>
  </si>
  <si>
    <t xml:space="preserve">Metric</t>
  </si>
  <si>
    <t xml:space="preserve">Geography</t>
  </si>
  <si>
    <t xml:space="preserve">Caveat</t>
  </si>
  <si>
    <t xml:space="preserve">Acemoglu</t>
  </si>
  <si>
    <t xml:space="preserve">TFP pp/yr</t>
  </si>
  <si>
    <t xml:space="preserve">US</t>
  </si>
  <si>
    <t xml:space="preserve">Conservative task-based model</t>
  </si>
  <si>
    <t xml:space="preserve">Penn Wharton/CBO</t>
  </si>
  <si>
    <t xml:space="preserve">Conservative midpoint of +0.1–0.2 pp/yr</t>
  </si>
  <si>
    <t xml:space="preserve">OECD low</t>
  </si>
  <si>
    <t xml:space="preserve">Low end of OECD range</t>
  </si>
  <si>
    <t xml:space="preserve">OECD high</t>
  </si>
  <si>
    <t xml:space="preserve">High end of OECD range</t>
  </si>
  <si>
    <t xml:space="preserve">McKinsey low</t>
  </si>
  <si>
    <t xml:space="preserve">Labor prod. pp/yr</t>
  </si>
  <si>
    <t xml:space="preserve">Global</t>
  </si>
  <si>
    <t xml:space="preserve">Low end for gen AI alone</t>
  </si>
  <si>
    <t xml:space="preserve">McKinsey high</t>
  </si>
  <si>
    <t xml:space="preserve">High end for gen AI alone</t>
  </si>
  <si>
    <t xml:space="preserve">Goldman Sachs</t>
  </si>
  <si>
    <t xml:space="preserve">Global/US</t>
  </si>
  <si>
    <t xml:space="preserve">Optimistic deployment-decade scenario</t>
  </si>
  <si>
    <t xml:space="preserve">Sources</t>
  </si>
  <si>
    <t xml:space="preserve">URL</t>
  </si>
  <si>
    <t xml:space="preserve">Acemoglu / NBER</t>
  </si>
  <si>
    <t xml:space="preserve">https://www.nber.org/papers/w32487</t>
  </si>
  <si>
    <t xml:space="preserve">OECD Miracle or Myth</t>
  </si>
  <si>
    <t xml:space="preserve">https://www.oecd.org/en/publications/miracle-or-myth-assessing-the-macroeconomic-productivity-gains-from-artificial-intelligence_b524a072-en.html</t>
  </si>
  <si>
    <t xml:space="preserve">https://www.goldmansachs.com/insights/articles/generative-ai-could-raise-global-gdp-by-7-percent</t>
  </si>
  <si>
    <t xml:space="preserve">McKinsey Global Institute</t>
  </si>
  <si>
    <t xml:space="preserve">https://www.mckinsey.com/capabilities/tech-and-ai/our-insights/the-economic-potential-of-generative-ai-the-next-productivity-frontier</t>
  </si>
  <si>
    <t xml:space="preserve">The macro-micro gap: exposure is broad, daily use is still narrow</t>
  </si>
  <si>
    <t xml:space="preserve">Headline exposure/adoption figures are much larger than daily usage or work-hour penetration. That gap explains why strong task-level studies have not yet translated into a visible 10x macro outcome.</t>
  </si>
  <si>
    <t xml:space="preserve">Share (%)</t>
  </si>
  <si>
    <t xml:space="preserve">Type</t>
  </si>
  <si>
    <t xml:space="preserve">US population using gen AI</t>
  </si>
  <si>
    <t xml:space="preserve">Adoption</t>
  </si>
  <si>
    <t xml:space="preserve">Bick/Blandin/Deming</t>
  </si>
  <si>
    <t xml:space="preserve">Employed workers using at work weekly</t>
  </si>
  <si>
    <t xml:space="preserve">Work usage</t>
  </si>
  <si>
    <t xml:space="preserve">Employed workers using daily</t>
  </si>
  <si>
    <t xml:space="preserve">Daily usage</t>
  </si>
  <si>
    <t xml:space="preserve">Work hours assisted by gen AI - low</t>
  </si>
  <si>
    <t xml:space="preserve">Intensity</t>
  </si>
  <si>
    <t xml:space="preserve">Work hours assisted by gen AI - high</t>
  </si>
  <si>
    <t xml:space="preserve">Formal firm adoption</t>
  </si>
  <si>
    <t xml:space="preserve">Formal adoption</t>
  </si>
  <si>
    <t xml:space="preserve">St. Louis Fed/Bick</t>
  </si>
  <si>
    <t xml:space="preserve">Country-level business adoption low</t>
  </si>
  <si>
    <t xml:space="preserve">Business adoption</t>
  </si>
  <si>
    <t xml:space="preserve">OECD</t>
  </si>
  <si>
    <t xml:space="preserve">Country-level business adoption high</t>
  </si>
  <si>
    <t xml:space="preserve">NBER Rapid Adoption</t>
  </si>
  <si>
    <t xml:space="preserve">https://www.nber.org/papers/w32966</t>
  </si>
  <si>
    <t xml:space="preserve">St. Louis Fed Open Vault</t>
  </si>
  <si>
    <t xml:space="preserve">https://www.stlouisfed.org/open-vault/2025/oct/generative-ai-productivity-future-work</t>
  </si>
  <si>
    <t xml:space="preserve">OECD Ecoscope</t>
  </si>
  <si>
    <t xml:space="preserve">https://oecdecoscope.blog/2024/11/26/miracle-or-myth-assessing-the-macroeconomic-productivity-gains-from-artificial-intelligence/</t>
  </si>
  <si>
    <t xml:space="preserve">Employment exposure is high, but exposure is not displacement</t>
  </si>
  <si>
    <t xml:space="preserve">IMF and Goldman estimates show high partial exposure, especially in advanced economies. The pricing implication is that AI can affect many jobs, but only a subset of tasks and workflows are currently monetizable.</t>
  </si>
  <si>
    <t xml:space="preserve">Global employment exposed</t>
  </si>
  <si>
    <t xml:space="preserve">IMF</t>
  </si>
  <si>
    <t xml:space="preserve">Exposure</t>
  </si>
  <si>
    <t xml:space="preserve">Advanced economies exposed</t>
  </si>
  <si>
    <t xml:space="preserve">Emerging markets exposed</t>
  </si>
  <si>
    <t xml:space="preserve">Low-income countries exposed</t>
  </si>
  <si>
    <t xml:space="preserve">US occupations with some exposure</t>
  </si>
  <si>
    <t xml:space="preserve">US task substitution share</t>
  </si>
  <si>
    <t xml:space="preserve">Substitution</t>
  </si>
  <si>
    <t xml:space="preserve">Work hours currently assisted - high</t>
  </si>
  <si>
    <t xml:space="preserve">Current use</t>
  </si>
  <si>
    <t xml:space="preserve">IMF AI and Global Economy</t>
  </si>
  <si>
    <t xml:space="preserve">https://www.imf.org/en/blogs/articles/2024/01/14/ai-will-transform-the-global-economy-lets-make-sure-it-benefits-humanity</t>
  </si>
  <si>
    <t xml:space="preserve">Goldman Sachs GDP impact</t>
  </si>
  <si>
    <t xml:space="preserve">Task-level gains are real, but bounded by task scope</t>
  </si>
  <si>
    <t xml:space="preserve">The strongest experiments show 14–55% productivity gains, but complex expert software work shows null or negative results. This makes a broad 20–30% value thesis more defensible than a 10x claim.</t>
  </si>
  <si>
    <t xml:space="preserve">Function</t>
  </si>
  <si>
    <t xml:space="preserve">Study</t>
  </si>
  <si>
    <t xml:space="preserve">Effect (%)</t>
  </si>
  <si>
    <t xml:space="preserve">Confidence</t>
  </si>
  <si>
    <t xml:space="preserve">Customer support</t>
  </si>
  <si>
    <t xml:space="preserve">Brynjolfsson/Li/Raymond</t>
  </si>
  <si>
    <t xml:space="preserve">Issues resolved/hour</t>
  </si>
  <si>
    <t xml:space="preserve">Very high</t>
  </si>
  <si>
    <t xml:space="preserve">Novice +34%; experts ~0%</t>
  </si>
  <si>
    <t xml:space="preserve">Consulting</t>
  </si>
  <si>
    <t xml:space="preserve">HBS/BCG Jagged Frontier</t>
  </si>
  <si>
    <t xml:space="preserve">Speed</t>
  </si>
  <si>
    <t xml:space="preserve">Quality +40%; outside-frontier correctness -19pp</t>
  </si>
  <si>
    <t xml:space="preserve">Writing</t>
  </si>
  <si>
    <t xml:space="preserve">Noy &amp; Zhang Science</t>
  </si>
  <si>
    <t xml:space="preserve">Time reduction</t>
  </si>
  <si>
    <t xml:space="preserve">Quality +18%</t>
  </si>
  <si>
    <t xml:space="preserve">Software simple task</t>
  </si>
  <si>
    <t xml:space="preserve">GitHub Copilot lab</t>
  </si>
  <si>
    <t xml:space="preserve">Faster completion</t>
  </si>
  <si>
    <t xml:space="preserve">High within scope</t>
  </si>
  <si>
    <t xml:space="preserve">Narrow HTTP server task</t>
  </si>
  <si>
    <t xml:space="preserve">Enterprise software</t>
  </si>
  <si>
    <t xml:space="preserve">MIT/Accenture Copilot RCT</t>
  </si>
  <si>
    <t xml:space="preserve">PRs/builds</t>
  </si>
  <si>
    <t xml:space="preserve">High</t>
  </si>
  <si>
    <t xml:space="preserve">Junior/high-workload gains higher</t>
  </si>
  <si>
    <t xml:space="preserve">Cross-industry email</t>
  </si>
  <si>
    <t xml:space="preserve">Dillon et al. Copilot RCT</t>
  </si>
  <si>
    <t xml:space="preserve">Email time reduction</t>
  </si>
  <si>
    <t xml:space="preserve">Meetings unchanged</t>
  </si>
  <si>
    <t xml:space="preserve">Public sector</t>
  </si>
  <si>
    <t xml:space="preserve">UK GDS Copilot</t>
  </si>
  <si>
    <t xml:space="preserve">Day saved</t>
  </si>
  <si>
    <t xml:space="preserve">Low-medium</t>
  </si>
  <si>
    <t xml:space="preserve">Self-reported</t>
  </si>
  <si>
    <t xml:space="preserve">Experienced OS dev</t>
  </si>
  <si>
    <t xml:space="preserve">METR</t>
  </si>
  <si>
    <t xml:space="preserve">Completion time</t>
  </si>
  <si>
    <t xml:space="preserve">Moderate</t>
  </si>
  <si>
    <t xml:space="preserve">AI slowed work in complex familiar repos</t>
  </si>
  <si>
    <t xml:space="preserve">NBER Generative AI at Work</t>
  </si>
  <si>
    <t xml:space="preserve">https://www.nber.org/papers/w31161</t>
  </si>
  <si>
    <t xml:space="preserve">HBS Jagged Frontier</t>
  </si>
  <si>
    <t xml:space="preserve">https://www.hbs.edu/faculty/Pages/item.aspx?num=64700</t>
  </si>
  <si>
    <t xml:space="preserve">Noy &amp; Zhang</t>
  </si>
  <si>
    <t xml:space="preserve">https://cepr.org/voxeu/columns/productivity-effects-generative-artificial-intelligence</t>
  </si>
  <si>
    <t xml:space="preserve">GitHub Copilot experiment</t>
  </si>
  <si>
    <t xml:space="preserve">https://arxiv.org/abs/2302.06590</t>
  </si>
  <si>
    <t xml:space="preserve">METR developer study</t>
  </si>
  <si>
    <t xml:space="preserve">https://metr.org/blog/2025-07-10-early-2025-ai-experienced-os-dev-study/</t>
  </si>
  <si>
    <t xml:space="preserve">Defensible value bands vary sharply by workflow</t>
  </si>
  <si>
    <t xml:space="preserve">The pricing-safe claim is not “AI improves everything by 10x.” It is “AI improves specific workflows by measurable bands, with confidence varying by evidence quality.”</t>
  </si>
  <si>
    <t xml:space="preserve">Workflow</t>
  </si>
  <si>
    <t xml:space="preserve">Low effect (%)</t>
  </si>
  <si>
    <t xml:space="preserve">Central effect (%)</t>
  </si>
  <si>
    <t xml:space="preserve">High effect (%)</t>
  </si>
  <si>
    <t xml:space="preserve">Notes</t>
  </si>
  <si>
    <t xml:space="preserve">Routine writing / document drafting</t>
  </si>
  <si>
    <t xml:space="preserve">Document-centric work</t>
  </si>
  <si>
    <t xml:space="preserve">Professional knowledge work inside frontier</t>
  </si>
  <si>
    <t xml:space="preserve">Consulting-style tasks</t>
  </si>
  <si>
    <t xml:space="preserve">Customer support novice agents</t>
  </si>
  <si>
    <t xml:space="preserve">High-volume support</t>
  </si>
  <si>
    <t xml:space="preserve">Customer support expert agents</t>
  </si>
  <si>
    <t xml:space="preserve">Expert ceiling</t>
  </si>
  <si>
    <t xml:space="preserve">Software dev standard tasks</t>
  </si>
  <si>
    <t xml:space="preserve">Moderate-high</t>
  </si>
  <si>
    <t xml:space="preserve">Junior/mid, greenfield</t>
  </si>
  <si>
    <t xml:space="preserve">Software dev senior complex repos</t>
  </si>
  <si>
    <t xml:space="preserve">Risk of slowdown</t>
  </si>
  <si>
    <t xml:space="preserve">E-commerce conversion workflows</t>
  </si>
  <si>
    <t xml:space="preserve">Workflow-specific revenue uplift</t>
  </si>
  <si>
    <t xml:space="preserve">Email / admin work</t>
  </si>
  <si>
    <t xml:space="preserve">Heavy users</t>
  </si>
  <si>
    <t xml:space="preserve">Legal routine contract review</t>
  </si>
  <si>
    <t xml:space="preserve">Narrow NDA-type tasks</t>
  </si>
  <si>
    <t xml:space="preserve">Task evidence synthesis</t>
  </si>
  <si>
    <t xml:space="preserve">Multiple primary sources listed in Source Register</t>
  </si>
  <si>
    <t xml:space="preserve">The most reliable AI effect is skill compression</t>
  </si>
  <si>
    <t xml:space="preserve">Across support, consulting, and writing, the largest gains often go to novice or below-median users. This is powerful for onboarding and high-volume support, but weakens flat per-seat pricing for senior expert teams.</t>
  </si>
  <si>
    <t xml:space="preserve">Higher-gain segment</t>
  </si>
  <si>
    <t xml:space="preserve">Higher-gain effect (%)</t>
  </si>
  <si>
    <t xml:space="preserve">Lower-gain segment</t>
  </si>
  <si>
    <t xml:space="preserve">Lower-gain effect (%)</t>
  </si>
  <si>
    <t xml:space="preserve">Low-skill / novice</t>
  </si>
  <si>
    <t xml:space="preserve">Experienced / high-skill</t>
  </si>
  <si>
    <t xml:space="preserve">Brynjolfsson et al.</t>
  </si>
  <si>
    <t xml:space="preserve">Customer support tenure</t>
  </si>
  <si>
    <t xml:space="preserve">New workers</t>
  </si>
  <si>
    <t xml:space="preserve">Expert tenure</t>
  </si>
  <si>
    <t xml:space="preserve">Below-median performers</t>
  </si>
  <si>
    <t xml:space="preserve">Above-median performers</t>
  </si>
  <si>
    <t xml:space="preserve">HBS/BCG</t>
  </si>
  <si>
    <t xml:space="preserve">Below-median writers</t>
  </si>
  <si>
    <t xml:space="preserve">Larger quality gains</t>
  </si>
  <si>
    <t xml:space="preserve">High performers</t>
  </si>
  <si>
    <t xml:space="preserve">Smaller gains</t>
  </si>
  <si>
    <t xml:space="preserve">Content creation</t>
  </si>
  <si>
    <t xml:space="preserve">Adjacent outsiders</t>
  </si>
  <si>
    <t xml:space="preserve">Near experts</t>
  </si>
  <si>
    <t xml:space="preserve">Distant outsiders</t>
  </si>
  <si>
    <t xml:space="preserve">13% below experts</t>
  </si>
  <si>
    <t xml:space="preserve">HBS Wall Effect</t>
  </si>
  <si>
    <t xml:space="preserve">HBS GenAI Wall Effect</t>
  </si>
  <si>
    <t xml:space="preserve">https://www.library.hbs.edu/working-knowledge/gen-ai-boosts-productivity-but-cant-turn-novices-into-experts</t>
  </si>
  <si>
    <t xml:space="preserve">Value uplift determines pricing model, not just price level</t>
  </si>
  <si>
    <t xml:space="preserve">A 20–30% productivity gain is enough to justify AI meters, credits, and moderate premium tiers. It is not enough to justify 10x price increases unless the product replaces a measurable labor cost or revenue bottleneck.</t>
  </si>
  <si>
    <t xml:space="preserve">Value uplift zone</t>
  </si>
  <si>
    <t xml:space="preserve">Buyer response</t>
  </si>
  <si>
    <t xml:space="preserve">Pricing model implication</t>
  </si>
  <si>
    <t xml:space="preserve">Vendor strategy</t>
  </si>
  <si>
    <t xml:space="preserve">&lt;10%</t>
  </si>
  <si>
    <t xml:space="preserve">Skepticism; bundle into base</t>
  </si>
  <si>
    <t xml:space="preserve">No premium; retention feature</t>
  </si>
  <si>
    <t xml:space="preserve">Bundle/free AI</t>
  </si>
  <si>
    <t xml:space="preserve">10–20%</t>
  </si>
  <si>
    <t xml:space="preserve">Cautious adoption with proof</t>
  </si>
  <si>
    <t xml:space="preserve">Hybrid seat + usage; modest premium</t>
  </si>
  <si>
    <t xml:space="preserve">$5–15/user/month AI add-on</t>
  </si>
  <si>
    <t xml:space="preserve">20–30%</t>
  </si>
  <si>
    <t xml:space="preserve">Separate AI line item possible</t>
  </si>
  <si>
    <t xml:space="preserve">Consumption/outcome meter plus seat</t>
  </si>
  <si>
    <t xml:space="preserve">20–50% premium on base tier</t>
  </si>
  <si>
    <t xml:space="preserve">30–60%</t>
  </si>
  <si>
    <t xml:space="preserve">Labor-budget shift possible</t>
  </si>
  <si>
    <t xml:space="preserve">Outcome/resolution pricing viable</t>
  </si>
  <si>
    <t xml:space="preserve">Shared savings or agent-as-FTE</t>
  </si>
  <si>
    <t xml:space="preserve">&gt;60%</t>
  </si>
  <si>
    <t xml:space="preserve">Full substitution possible in narrow workflows</t>
  </si>
  <si>
    <t xml:space="preserve">Outcome pricing at fraction of value</t>
  </si>
  <si>
    <t xml:space="preserve">10–20% of value created, not 10x list price</t>
  </si>
  <si>
    <t xml:space="preserve">BCG AI software pricing</t>
  </si>
  <si>
    <t xml:space="preserve">https://www.bcg.com/publications/2025/rethinking-b2b-software-pricing-in-the-era-of-ai</t>
  </si>
  <si>
    <t xml:space="preserve">Bain seat pricing and AI</t>
  </si>
  <si>
    <t xml:space="preserve">https://www.bain.com/insights/per-seat-software-pricing-isnt-dead-but-new-models-are-gaining-steam/</t>
  </si>
  <si>
    <t xml:space="preserve">a16z outcome pricing</t>
  </si>
  <si>
    <t xml:space="preserve">https://a16z.com/newsletter/december-2024-enterprise-newsletter-ai-is-driving-a-shift-towards-outcome-based-pricing/</t>
  </si>
  <si>
    <t xml:space="preserve">AI vendors are moving to hybrid pricing, not pure 10x premiums</t>
  </si>
  <si>
    <t xml:space="preserve">The market evidence shows hybrid pricing: seats remain for predictability, while credits, actions, outcomes, and tokens meter AI-specific value and cost.</t>
  </si>
  <si>
    <t xml:space="preserve">Company</t>
  </si>
  <si>
    <t xml:space="preserve">Model</t>
  </si>
  <si>
    <t xml:space="preserve">Price point</t>
  </si>
  <si>
    <t xml:space="preserve">Value metric</t>
  </si>
  <si>
    <t xml:space="preserve">Value evidence</t>
  </si>
  <si>
    <t xml:space="preserve">Key caveat</t>
  </si>
  <si>
    <t xml:space="preserve">Intercom Fin</t>
  </si>
  <si>
    <t xml:space="preserve">Outcome/resolution</t>
  </si>
  <si>
    <t xml:space="preserve">$0.99 per outcome</t>
  </si>
  <si>
    <t xml:space="preserve">Resolved issue or completed workflow</t>
  </si>
  <si>
    <t xml:space="preserve">Human query cost often $5–10; 80–90% per-resolution savings</t>
  </si>
  <si>
    <t xml:space="preserve">Cost rises as AI succeeds; outcome definition disputed</t>
  </si>
  <si>
    <t xml:space="preserve">Salesforce Agentforce</t>
  </si>
  <si>
    <t xml:space="preserve">Flex credits + seats</t>
  </si>
  <si>
    <t xml:space="preserve">$500 per 100k credits; $2/conversation still listed; $125/user/month flat access</t>
  </si>
  <si>
    <t xml:space="preserve">Agent action, conversation, or employee agent access</t>
  </si>
  <si>
    <t xml:space="preserve">Granular action meter after $2/conversation backlash</t>
  </si>
  <si>
    <t xml:space="preserve">Billing complexity and observability burden</t>
  </si>
  <si>
    <t xml:space="preserve">Microsoft 365 Copilot</t>
  </si>
  <si>
    <t xml:space="preserve">Seat</t>
  </si>
  <si>
    <t xml:space="preserve">$30/user/month enterprise</t>
  </si>
  <si>
    <t xml:space="preserve">Productivity uplift</t>
  </si>
  <si>
    <t xml:space="preserve">Forrester TEI 132–353% projected ROI</t>
  </si>
  <si>
    <t xml:space="preserve">Paid adoption selective; commissioned ROI</t>
  </si>
  <si>
    <t xml:space="preserve">GitHub Copilot</t>
  </si>
  <si>
    <t xml:space="preserve">Seat to AI credits</t>
  </si>
  <si>
    <t xml:space="preserve">$19 Business; $39 Enterprise</t>
  </si>
  <si>
    <t xml:space="preserve">Developer productivity / AI credits</t>
  </si>
  <si>
    <t xml:space="preserve">Lab tasks +55.8%; enterprise RCT +22% PRs</t>
  </si>
  <si>
    <t xml:space="preserve">Complex repo studies show null/negative risks</t>
  </si>
  <si>
    <t xml:space="preserve">OpenAI / Anthropic</t>
  </si>
  <si>
    <t xml:space="preserve">Token usage</t>
  </si>
  <si>
    <t xml:space="preserve">Per 1M input/output tokens</t>
  </si>
  <si>
    <t xml:space="preserve">Tokens processed</t>
  </si>
  <si>
    <t xml:space="preserve">Cost floor for application-layer AI</t>
  </si>
  <si>
    <t xml:space="preserve">Runaway usage and margin compression risk</t>
  </si>
  <si>
    <t xml:space="preserve">Intercom pricing</t>
  </si>
  <si>
    <t xml:space="preserve">https://www.intercom.com/pricing</t>
  </si>
  <si>
    <t xml:space="preserve">Salesforce Agentforce pricing</t>
  </si>
  <si>
    <t xml:space="preserve">https://www.salesforce.com/agentforce/pricing/</t>
  </si>
  <si>
    <t xml:space="preserve">Microsoft Copilot ROI</t>
  </si>
  <si>
    <t xml:space="preserve">https://www.microsoft.com/en-us/microsoft-365/blog/2024/10/17/microsoft-365-copilot-drove-up-to-353-roi-for-small-and-medium-businesses-new-study/</t>
  </si>
  <si>
    <t xml:space="preserve">GitHub Copilot docs</t>
  </si>
  <si>
    <t xml:space="preserve">https://docs.github.com/en/copilot/get-started/plans</t>
  </si>
  <si>
    <t xml:space="preserve">OpenAI API pricing</t>
  </si>
  <si>
    <t xml:space="preserve">https://developers.openai.com/api/docs/pricing</t>
  </si>
  <si>
    <t xml:space="preserve">Simple value-to-price calculator</t>
  </si>
  <si>
    <t xml:space="preserve">This sheet translates workflow-level productivity into monthly value and a defensible price ceiling. Formulas are live so users can change assumptions.</t>
  </si>
  <si>
    <t xml:space="preserve">Role / workflow</t>
  </si>
  <si>
    <t xml:space="preserve">Loaded hourly cost ($)</t>
  </si>
  <si>
    <t xml:space="preserve">Addressable hours / week</t>
  </si>
  <si>
    <t xml:space="preserve">Productivity uplift (%)</t>
  </si>
  <si>
    <t xml:space="preserve">Recoverable share (%)</t>
  </si>
  <si>
    <t xml:space="preserve">Gross value / week ($)</t>
  </si>
  <si>
    <t xml:space="preserve">Monthly value ($)</t>
  </si>
  <si>
    <t xml:space="preserve">Target ROI multiple</t>
  </si>
  <si>
    <t xml:space="preserve">Defensible monthly price ($)</t>
  </si>
  <si>
    <t xml:space="preserve">Knowledge worker - document work</t>
  </si>
  <si>
    <t xml:space="preserve">Central 20–30% uplift; only addressable tasks count</t>
  </si>
  <si>
    <t xml:space="preserve">Customer support novice agent</t>
  </si>
  <si>
    <t xml:space="preserve">High-volume support; stronger evidence</t>
  </si>
  <si>
    <t xml:space="preserve">Senior software engineer - complex repo</t>
  </si>
  <si>
    <t xml:space="preserve">METR risk: zero/negative central case</t>
  </si>
  <si>
    <t xml:space="preserve">Junior software developer - standard tasks</t>
  </si>
  <si>
    <t xml:space="preserve">Enterprise PR/build evidence</t>
  </si>
  <si>
    <t xml:space="preserve">Narrow routine review only</t>
  </si>
  <si>
    <t xml:space="preserve">Sales/marketing content</t>
  </si>
  <si>
    <t xml:space="preserve">Writing/content evidence</t>
  </si>
  <si>
    <t xml:space="preserve">Task-level evidence sources</t>
  </si>
  <si>
    <t xml:space="preserve">See S04 and S05</t>
  </si>
  <si>
    <t xml:space="preserve">Pricing ladder framework</t>
  </si>
  <si>
    <t xml:space="preserve">See S07 and S08</t>
  </si>
  <si>
    <t xml:space="preserve">Statista benchmark layer</t>
  </si>
  <si>
    <t xml:space="preserve">Statista provides market/adoption context rather than causal productivity proof: it shows workplace adoption, function-level gen AI use, workforce-impact expectations, and long-term AI labor-productivity forecasts.</t>
  </si>
  <si>
    <t xml:space="preserve">Statista item</t>
  </si>
  <si>
    <t xml:space="preserve">Value</t>
  </si>
  <si>
    <t xml:space="preserve">Unit</t>
  </si>
  <si>
    <t xml:space="preserve">Original source</t>
  </si>
  <si>
    <t xml:space="preserve">Statista URL</t>
  </si>
  <si>
    <t xml:space="preserve">Interpretation</t>
  </si>
  <si>
    <t xml:space="preserve">AI adoption vs generative AI adoption, marketing &amp; sales</t>
  </si>
  <si>
    <t xml:space="preserve">Percent using gen AI</t>
  </si>
  <si>
    <t xml:space="preserve">Worldwide</t>
  </si>
  <si>
    <t xml:space="preserve">McKinsey / Stanford Medicine via Statista</t>
  </si>
  <si>
    <t xml:space="preserve">https://cashmere.io/v/klMFtxkBx</t>
  </si>
  <si>
    <t xml:space="preserve">Marketing and sales had nearly 14% generative AI adoption in 2023.</t>
  </si>
  <si>
    <t xml:space="preserve">Impact of AI on workforce worldwide</t>
  </si>
  <si>
    <t xml:space="preserve">Percent transformational impact</t>
  </si>
  <si>
    <t xml:space="preserve">Thomson Reuters via Statista</t>
  </si>
  <si>
    <t xml:space="preserve">https://cashmere.io/v/B7qHhEH06</t>
  </si>
  <si>
    <t xml:space="preserve">42% expected AI/GenAI to have transformational impact on profession over five years.</t>
  </si>
  <si>
    <t xml:space="preserve">Percent high impact</t>
  </si>
  <si>
    <t xml:space="preserve">36% expected high impact.</t>
  </si>
  <si>
    <t xml:space="preserve">Artificial intelligence impact on labor productivity in 2035</t>
  </si>
  <si>
    <t xml:space="preserve">Percent increase vs baseline</t>
  </si>
  <si>
    <t xml:space="preserve">Sweden</t>
  </si>
  <si>
    <t xml:space="preserve">Accenture / Frontier Economics via Statista</t>
  </si>
  <si>
    <t xml:space="preserve">https://cashmere.io/v/kGsLIAodH</t>
  </si>
  <si>
    <t xml:space="preserve">Highest selected-country labor-productivity uplift estimate in source.</t>
  </si>
  <si>
    <t xml:space="preserve">Generative AI adoption in India marketing</t>
  </si>
  <si>
    <t xml:space="preserve">Percent expectation</t>
  </si>
  <si>
    <t xml:space="preserve">India</t>
  </si>
  <si>
    <t xml:space="preserve">Mobile Marketing Association via Statista</t>
  </si>
  <si>
    <t xml:space="preserve">https://cashmere.io/v/GGNrDNXhF</t>
  </si>
  <si>
    <t xml:space="preserve">Marketers believed AI would enhance marketing without replacing human creativity/expertise.</t>
  </si>
  <si>
    <t xml:space="preserve">UAE generative AI adoption</t>
  </si>
  <si>
    <t xml:space="preserve">Percent actively deploying</t>
  </si>
  <si>
    <t xml:space="preserve">UAE</t>
  </si>
  <si>
    <t xml:space="preserve">IBM via Statista</t>
  </si>
  <si>
    <t xml:space="preserve">https://cashmere.io/v/Z6u4doJKR</t>
  </si>
  <si>
    <t xml:space="preserve">Employees reported company actively deploying gen AI.</t>
  </si>
  <si>
    <t xml:space="preserve">Enterprise productivity software market size</t>
  </si>
  <si>
    <t xml:space="preserve">USD billions</t>
  </si>
  <si>
    <t xml:space="preserve">GP Bullhound via Statista</t>
  </si>
  <si>
    <t xml:space="preserve">https://cashmere.io/v/xdtU59GOw</t>
  </si>
  <si>
    <t xml:space="preserve">Forecast global enterprise productivity software revenue by 2025.</t>
  </si>
  <si>
    <t xml:space="preserve">Source register</t>
  </si>
  <si>
    <t xml:space="preserve">Canonical URLs used across the evidence pack. Use this sheet when rebuilding the report or creating a deck from the workbook.</t>
  </si>
  <si>
    <t xml:space="preserve">Use</t>
  </si>
  <si>
    <t xml:space="preserve">Acemoglu, Simple Macroeconomics of AI</t>
  </si>
  <si>
    <t xml:space="preserve">Macro productivity</t>
  </si>
  <si>
    <t xml:space="preserve">Bick, Blandin &amp; Deming, Rapid Adoption</t>
  </si>
  <si>
    <t xml:space="preserve">Adoption/time savings</t>
  </si>
  <si>
    <t xml:space="preserve">St. Louis Fed, Generative AI Productivity</t>
  </si>
  <si>
    <t xml:space="preserve">IMF, AI Will Transform Global Economy</t>
  </si>
  <si>
    <t xml:space="preserve">Labor exposure</t>
  </si>
  <si>
    <t xml:space="preserve">OECD, Miracle or Myth</t>
  </si>
  <si>
    <t xml:space="preserve">PwC AI Jobs Barometer</t>
  </si>
  <si>
    <t xml:space="preserve">Revenue/wages/jobs</t>
  </si>
  <si>
    <t xml:space="preserve">https://www.pwc.com/gx/en/services/ai/ai-jobs-barometer.html</t>
  </si>
  <si>
    <t xml:space="preserve">McKinsey Economic Potential of GenAI</t>
  </si>
  <si>
    <t xml:space="preserve">Economic potential</t>
  </si>
  <si>
    <t xml:space="preserve">Goldman Sachs GDP estimate</t>
  </si>
  <si>
    <t xml:space="preserve">Macro optimism</t>
  </si>
  <si>
    <t xml:space="preserve">Customer support RCT</t>
  </si>
  <si>
    <t xml:space="preserve">Consulting RCT</t>
  </si>
  <si>
    <t xml:space="preserve">Software dev lab RCT</t>
  </si>
  <si>
    <t xml:space="preserve">MIT/Accenture Copilot field experiment</t>
  </si>
  <si>
    <t xml:space="preserve">Software dev enterprise RCT</t>
  </si>
  <si>
    <t xml:space="preserve">https://mit-genai.pubpub.org/pub/v5iixksv</t>
  </si>
  <si>
    <t xml:space="preserve">Software dev complex RCT</t>
  </si>
  <si>
    <t xml:space="preserve">Noy &amp; Zhang, Science</t>
  </si>
  <si>
    <t xml:space="preserve">Writing RCT</t>
  </si>
  <si>
    <t xml:space="preserve">UK Government Copilot experiment</t>
  </si>
  <si>
    <t xml:space="preserve">Public sector deployment</t>
  </si>
  <si>
    <t xml:space="preserve">https://www.gov.uk/government/publications/microsoft-365-copilot-experiment-cross-government-findings-report</t>
  </si>
  <si>
    <t xml:space="preserve">Outcome pricing</t>
  </si>
  <si>
    <t xml:space="preserve">Flex/action pricing</t>
  </si>
  <si>
    <t xml:space="preserve">Microsoft Copilot ROI study</t>
  </si>
  <si>
    <t xml:space="preserve">Seat pricing / ROI</t>
  </si>
  <si>
    <t xml:space="preserve">GitHub Copilot plans</t>
  </si>
  <si>
    <t xml:space="preserve">Developer AI pricing</t>
  </si>
  <si>
    <t xml:space="preserve">Pricing thought leadership</t>
  </si>
  <si>
    <t xml:space="preserve">Bain AI seat pricing</t>
  </si>
  <si>
    <t xml:space="preserve">Statista: AI adoption vs generative AI adoption 2023</t>
  </si>
  <si>
    <t xml:space="preserve">Adoption by function</t>
  </si>
  <si>
    <t xml:space="preserve">Statista: Impact of AI on workforce worldwide 2024</t>
  </si>
  <si>
    <t xml:space="preserve">Workforce impact expectations</t>
  </si>
  <si>
    <t xml:space="preserve">Statista: AI labor productivity impact in 2035</t>
  </si>
  <si>
    <t xml:space="preserve">Long-term productivity forecast</t>
  </si>
  <si>
    <t xml:space="preserve">Statista: Global enterprise productivity software market size 2025</t>
  </si>
  <si>
    <t xml:space="preserve">Market context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</si>
</sst>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\$#,##0.00"/>
    <numFmt numFmtId="168" formatCode="#,##0.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6"/>
      <color rgb="FF28251D"/>
      <name val="Arial"/>
      <family val="0"/>
      <charset val="1"/>
    </font>
    <font>
      <b val="true"/>
      <sz val="11"/>
      <color rgb="FF01696F"/>
      <name val="Arial"/>
      <family val="0"/>
      <charset val="1"/>
    </font>
    <font>
      <sz val="10"/>
      <color rgb="FF28251D"/>
      <name val="Arial"/>
      <family val="0"/>
      <charset val="1"/>
    </font>
    <font>
      <sz val="9"/>
      <color rgb="FF7A797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8251D"/>
      <name val="Arial"/>
      <family val="0"/>
      <charset val="1"/>
    </font>
    <font>
      <sz val="12"/>
      <color theme="1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/>
      <right/>
      <top/>
      <bottom style="thin">
        <color rgb="FFD4D1C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3B3B3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4D1CA"/>
      <rgbColor rgb="FF4F81BD"/>
      <rgbColor rgb="FF33CCCC"/>
      <rgbColor rgb="FF99CC00"/>
      <rgbColor rgb="FFFFCC00"/>
      <rgbColor rgb="FFFF9900"/>
      <rgbColor rgb="FFFF6600"/>
      <rgbColor rgb="FF7A797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Annual productivity uplift estimates (percentage 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'S01 Macro TFP'!D8</c:f>
              <c:strCache>
                <c:ptCount val="1"/>
                <c:pt idx="0">
                  <c:v>Annual uplift (pp)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'S01 Macro TFP'!$B$9:$B$15</c:f>
              <c:strCache>
                <c:ptCount val="7"/>
                <c:pt idx="0">
                  <c:v>Acemoglu</c:v>
                </c:pt>
                <c:pt idx="1">
                  <c:v>Penn Wharton/CBO</c:v>
                </c:pt>
                <c:pt idx="2">
                  <c:v>OECD low</c:v>
                </c:pt>
                <c:pt idx="3">
                  <c:v>OECD high</c:v>
                </c:pt>
                <c:pt idx="4">
                  <c:v>McKinsey low</c:v>
                </c:pt>
                <c:pt idx="5">
                  <c:v>McKinsey high</c:v>
                </c:pt>
                <c:pt idx="6">
                  <c:v>Goldman Sachs</c:v>
                </c:pt>
              </c:strCache>
            </c:strRef>
          </c:cat>
          <c:val>
            <c:numRef>
              <c:f>'S01 Macro TFP'!$D$9:$D$15</c:f>
              <c:numCache>
                <c:formatCode>0.00</c:formatCode>
                <c:ptCount val="7"/>
                <c:pt idx="0">
                  <c:v>0.07</c:v>
                </c:pt>
                <c:pt idx="1">
                  <c:v>0.15</c:v>
                </c:pt>
                <c:pt idx="2">
                  <c:v>0.25</c:v>
                </c:pt>
                <c:pt idx="3">
                  <c:v>0.6</c:v>
                </c:pt>
                <c:pt idx="4">
                  <c:v>0.1</c:v>
                </c:pt>
                <c:pt idx="5">
                  <c:v>0.6</c:v>
                </c:pt>
                <c:pt idx="6">
                  <c:v>1.5</c:v>
                </c:pt>
              </c:numCache>
            </c:numRef>
          </c:val>
        </c:ser>
        <c:gapWidth val="150"/>
        <c:overlap val="0"/>
        <c:axId val="797672"/>
        <c:axId val="56205304"/>
      </c:barChart>
      <c:catAx>
        <c:axId val="797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205304"/>
        <c:crosses val="autoZero"/>
        <c:auto val="1"/>
        <c:lblAlgn val="ctr"/>
        <c:lblOffset val="100"/>
        <c:noMultiLvlLbl val="0"/>
      </c:catAx>
      <c:valAx>
        <c:axId val="56205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Annual uplift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7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Adoption, usage, and intensity are not the same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'S02 Adoption Gap'!C8</c:f>
              <c:strCache>
                <c:ptCount val="1"/>
                <c:pt idx="0">
                  <c:v>Share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'S02 Adoption Gap'!$B$9:$B$16</c:f>
              <c:strCache>
                <c:ptCount val="8"/>
                <c:pt idx="0">
                  <c:v>US population using gen AI</c:v>
                </c:pt>
                <c:pt idx="1">
                  <c:v>Employed workers using at work weekly</c:v>
                </c:pt>
                <c:pt idx="2">
                  <c:v>Employed workers using daily</c:v>
                </c:pt>
                <c:pt idx="3">
                  <c:v>Work hours assisted by gen AI - low</c:v>
                </c:pt>
                <c:pt idx="4">
                  <c:v>Work hours assisted by gen AI - high</c:v>
                </c:pt>
                <c:pt idx="5">
                  <c:v>Formal firm adoption</c:v>
                </c:pt>
                <c:pt idx="6">
                  <c:v>Country-level business adoption low</c:v>
                </c:pt>
                <c:pt idx="7">
                  <c:v>Country-level business adoption high</c:v>
                </c:pt>
              </c:strCache>
            </c:strRef>
          </c:cat>
          <c:val>
            <c:numRef>
              <c:f>'S02 Adoption Gap'!$C$9:$C$16</c:f>
              <c:numCache>
                <c:formatCode>0.0</c:formatCode>
                <c:ptCount val="8"/>
                <c:pt idx="0">
                  <c:v>39.4</c:v>
                </c:pt>
                <c:pt idx="1">
                  <c:v>23</c:v>
                </c:pt>
                <c:pt idx="2">
                  <c:v>9</c:v>
                </c:pt>
                <c:pt idx="3">
                  <c:v>1</c:v>
                </c:pt>
                <c:pt idx="4">
                  <c:v>7</c:v>
                </c:pt>
                <c:pt idx="5">
                  <c:v>5.4</c:v>
                </c:pt>
                <c:pt idx="6">
                  <c:v>5</c:v>
                </c:pt>
                <c:pt idx="7">
                  <c:v>15</c:v>
                </c:pt>
              </c:numCache>
            </c:numRef>
          </c:val>
        </c:ser>
        <c:gapWidth val="150"/>
        <c:overlap val="0"/>
        <c:axId val="82851825"/>
        <c:axId val="78340250"/>
      </c:barChart>
      <c:catAx>
        <c:axId val="828518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340250"/>
        <c:crosses val="autoZero"/>
        <c:auto val="1"/>
        <c:lblAlgn val="ctr"/>
        <c:lblOffset val="100"/>
        <c:noMultiLvlLbl val="0"/>
      </c:catAx>
      <c:valAx>
        <c:axId val="78340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8518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Labor exposure is much larger than current AI-assisted 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'S03 Labor Exposure'!C8</c:f>
              <c:strCache>
                <c:ptCount val="1"/>
                <c:pt idx="0">
                  <c:v>Share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'S03 Labor Exposure'!$B$9:$B$15</c:f>
              <c:strCache>
                <c:ptCount val="7"/>
                <c:pt idx="0">
                  <c:v>Global employment exposed</c:v>
                </c:pt>
                <c:pt idx="1">
                  <c:v>Advanced economies exposed</c:v>
                </c:pt>
                <c:pt idx="2">
                  <c:v>Emerging markets exposed</c:v>
                </c:pt>
                <c:pt idx="3">
                  <c:v>Low-income countries exposed</c:v>
                </c:pt>
                <c:pt idx="4">
                  <c:v>US occupations with some exposure</c:v>
                </c:pt>
                <c:pt idx="5">
                  <c:v>US task substitution share</c:v>
                </c:pt>
                <c:pt idx="6">
                  <c:v>Work hours currently assisted - high</c:v>
                </c:pt>
              </c:strCache>
            </c:strRef>
          </c:cat>
          <c:val>
            <c:numRef>
              <c:f>'S03 Labor Exposure'!$C$9:$C$15</c:f>
              <c:numCache>
                <c:formatCode>0.0</c:formatCode>
                <c:ptCount val="7"/>
                <c:pt idx="0">
                  <c:v>40</c:v>
                </c:pt>
                <c:pt idx="1">
                  <c:v>60</c:v>
                </c:pt>
                <c:pt idx="2">
                  <c:v>40</c:v>
                </c:pt>
                <c:pt idx="3">
                  <c:v>26</c:v>
                </c:pt>
                <c:pt idx="4">
                  <c:v>67</c:v>
                </c:pt>
                <c:pt idx="5">
                  <c:v>25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18545824"/>
        <c:axId val="90773585"/>
      </c:barChart>
      <c:catAx>
        <c:axId val="18545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773585"/>
        <c:crosses val="autoZero"/>
        <c:auto val="1"/>
        <c:lblAlgn val="ctr"/>
        <c:lblOffset val="100"/>
        <c:noMultiLvlLbl val="0"/>
      </c:catAx>
      <c:valAx>
        <c:axId val="90773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45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Measured productivity effects by workflow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'S04 Task Experiments'!D8</c:f>
              <c:strCache>
                <c:ptCount val="1"/>
                <c:pt idx="0">
                  <c:v>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'S04 Task Experiments'!$B$9:$B$16</c:f>
              <c:strCache>
                <c:ptCount val="8"/>
                <c:pt idx="0">
                  <c:v>Customer support</c:v>
                </c:pt>
                <c:pt idx="1">
                  <c:v>Consulting</c:v>
                </c:pt>
                <c:pt idx="2">
                  <c:v>Writing</c:v>
                </c:pt>
                <c:pt idx="3">
                  <c:v>Software simple task</c:v>
                </c:pt>
                <c:pt idx="4">
                  <c:v>Enterprise software</c:v>
                </c:pt>
                <c:pt idx="5">
                  <c:v>Cross-industry email</c:v>
                </c:pt>
                <c:pt idx="6">
                  <c:v>Public sector</c:v>
                </c:pt>
                <c:pt idx="7">
                  <c:v>Experienced OS dev</c:v>
                </c:pt>
              </c:strCache>
            </c:strRef>
          </c:cat>
          <c:val>
            <c:numRef>
              <c:f>'S04 Task Experiments'!$D$9:$D$16</c:f>
              <c:numCache>
                <c:formatCode>0.0</c:formatCode>
                <c:ptCount val="8"/>
                <c:pt idx="0">
                  <c:v>13.8</c:v>
                </c:pt>
                <c:pt idx="1">
                  <c:v>25.1</c:v>
                </c:pt>
                <c:pt idx="2">
                  <c:v>40</c:v>
                </c:pt>
                <c:pt idx="3">
                  <c:v>55.8</c:v>
                </c:pt>
                <c:pt idx="4">
                  <c:v>22</c:v>
                </c:pt>
                <c:pt idx="5">
                  <c:v>31</c:v>
                </c:pt>
                <c:pt idx="6">
                  <c:v>5.4</c:v>
                </c:pt>
                <c:pt idx="7">
                  <c:v>-19</c:v>
                </c:pt>
              </c:numCache>
            </c:numRef>
          </c:val>
        </c:ser>
        <c:gapWidth val="150"/>
        <c:overlap val="0"/>
        <c:axId val="4143804"/>
        <c:axId val="20975430"/>
      </c:barChart>
      <c:catAx>
        <c:axId val="4143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75430"/>
        <c:crosses val="autoZero"/>
        <c:auto val="1"/>
        <c:lblAlgn val="ctr"/>
        <c:lblOffset val="100"/>
        <c:noMultiLvlLbl val="0"/>
      </c:catAx>
      <c:valAx>
        <c:axId val="20975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3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Central defensible effect by workflow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'S05 Sector Value Bands'!D8</c:f>
              <c:strCache>
                <c:ptCount val="1"/>
                <c:pt idx="0">
                  <c:v>Central 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'S05 Sector Value Bands'!$B$9:$B$17</c:f>
              <c:strCache>
                <c:ptCount val="9"/>
                <c:pt idx="0">
                  <c:v>Routine writing / document drafting</c:v>
                </c:pt>
                <c:pt idx="1">
                  <c:v>Professional knowledge work inside frontier</c:v>
                </c:pt>
                <c:pt idx="2">
                  <c:v>Customer support novice agents</c:v>
                </c:pt>
                <c:pt idx="3">
                  <c:v>Customer support expert agents</c:v>
                </c:pt>
                <c:pt idx="4">
                  <c:v>Software dev standard tasks</c:v>
                </c:pt>
                <c:pt idx="5">
                  <c:v>Software dev senior complex repos</c:v>
                </c:pt>
                <c:pt idx="6">
                  <c:v>E-commerce conversion workflows</c:v>
                </c:pt>
                <c:pt idx="7">
                  <c:v>Email / admin work</c:v>
                </c:pt>
                <c:pt idx="8">
                  <c:v>Legal routine contract review</c:v>
                </c:pt>
              </c:strCache>
            </c:strRef>
          </c:cat>
          <c:val>
            <c:numRef>
              <c:f>'S05 Sector Value Bands'!$D$9:$D$17</c:f>
              <c:numCache>
                <c:formatCode>0.0</c:formatCode>
                <c:ptCount val="9"/>
                <c:pt idx="0">
                  <c:v>40</c:v>
                </c:pt>
                <c:pt idx="1">
                  <c:v>25</c:v>
                </c:pt>
                <c:pt idx="2">
                  <c:v>35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8</c:v>
                </c:pt>
                <c:pt idx="7">
                  <c:v>31</c:v>
                </c:pt>
                <c:pt idx="8">
                  <c:v>200</c:v>
                </c:pt>
              </c:numCache>
            </c:numRef>
          </c:val>
        </c:ser>
        <c:gapWidth val="150"/>
        <c:overlap val="0"/>
        <c:axId val="69930953"/>
        <c:axId val="65586763"/>
      </c:barChart>
      <c:catAx>
        <c:axId val="699309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86763"/>
        <c:crosses val="autoZero"/>
        <c:auto val="1"/>
        <c:lblAlgn val="ctr"/>
        <c:lblOffset val="100"/>
        <c:noMultiLvlLbl val="0"/>
      </c:catAx>
      <c:valAx>
        <c:axId val="65586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Central 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9309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Higher-gain segment effects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'S06 Heterogeneity'!D8</c:f>
              <c:strCache>
                <c:ptCount val="1"/>
                <c:pt idx="0">
                  <c:v>Higher-gain 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'S06 Heterogeneity'!$B$9:$B$11</c:f>
              <c:strCache>
                <c:ptCount val="3"/>
                <c:pt idx="0">
                  <c:v>Customer support</c:v>
                </c:pt>
                <c:pt idx="1">
                  <c:v>Customer support tenure</c:v>
                </c:pt>
                <c:pt idx="2">
                  <c:v>Consulting</c:v>
                </c:pt>
              </c:strCache>
            </c:strRef>
          </c:cat>
          <c:val>
            <c:numRef>
              <c:f>'S06 Heterogeneity'!$D$9:$D$11</c:f>
              <c:numCache>
                <c:formatCode>General</c:formatCode>
                <c:ptCount val="3"/>
                <c:pt idx="0">
                  <c:v>34</c:v>
                </c:pt>
                <c:pt idx="1">
                  <c:v>46</c:v>
                </c:pt>
                <c:pt idx="2">
                  <c:v>43</c:v>
                </c:pt>
              </c:numCache>
            </c:numRef>
          </c:val>
        </c:ser>
        <c:gapWidth val="150"/>
        <c:overlap val="0"/>
        <c:axId val="9862508"/>
        <c:axId val="35945622"/>
      </c:barChart>
      <c:catAx>
        <c:axId val="98625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945622"/>
        <c:crosses val="autoZero"/>
        <c:auto val="1"/>
        <c:lblAlgn val="ctr"/>
        <c:lblOffset val="100"/>
        <c:noMultiLvlLbl val="0"/>
      </c:catAx>
      <c:valAx>
        <c:axId val="35945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2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Defensible monthly price at target ROI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'S09 Value Calculator'!J8</c:f>
              <c:strCache>
                <c:ptCount val="1"/>
                <c:pt idx="0">
                  <c:v>Defensible monthly price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.0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'S09 Value Calculator'!$B$9:$B$14</c:f>
              <c:strCache>
                <c:ptCount val="6"/>
                <c:pt idx="0">
                  <c:v>Knowledge worker - document work</c:v>
                </c:pt>
                <c:pt idx="1">
                  <c:v>Customer support novice agent</c:v>
                </c:pt>
                <c:pt idx="2">
                  <c:v>Senior software engineer - complex repo</c:v>
                </c:pt>
                <c:pt idx="3">
                  <c:v>Junior software developer - standard tasks</c:v>
                </c:pt>
                <c:pt idx="4">
                  <c:v>Legal routine contract review</c:v>
                </c:pt>
                <c:pt idx="5">
                  <c:v>Sales/marketing content</c:v>
                </c:pt>
              </c:strCache>
            </c:strRef>
          </c:cat>
          <c:val>
            <c:numRef>
              <c:f>'S09 Value Calculator'!$J$9:$J$14</c:f>
              <c:numCache>
                <c:formatCode>\$#,##0.00</c:formatCode>
                <c:ptCount val="6"/>
                <c:pt idx="0">
                  <c:v>92.378752886836</c:v>
                </c:pt>
                <c:pt idx="1">
                  <c:v>121.247113163972</c:v>
                </c:pt>
                <c:pt idx="2">
                  <c:v>0</c:v>
                </c:pt>
                <c:pt idx="3">
                  <c:v>142.263279445727</c:v>
                </c:pt>
                <c:pt idx="4">
                  <c:v>277.136258660508</c:v>
                </c:pt>
                <c:pt idx="5">
                  <c:v>124.711316397229</c:v>
                </c:pt>
              </c:numCache>
            </c:numRef>
          </c:val>
        </c:ser>
        <c:gapWidth val="150"/>
        <c:overlap val="0"/>
        <c:axId val="63344281"/>
        <c:axId val="84386210"/>
      </c:barChart>
      <c:catAx>
        <c:axId val="63344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386210"/>
        <c:crosses val="autoZero"/>
        <c:auto val="1"/>
        <c:lblAlgn val="ctr"/>
        <c:lblOffset val="100"/>
        <c:noMultiLvlLbl val="0"/>
      </c:catAx>
      <c:valAx>
        <c:axId val="84386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Monthly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344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Selected Statista benchmarks for adoption and market context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'S10 Statista Benchmarks'!D8</c:f>
              <c:strCache>
                <c:ptCount val="1"/>
                <c:pt idx="0">
                  <c:v>Unit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'S10 Statista Benchmarks'!$B$9:$B$15</c:f>
              <c:strCache>
                <c:ptCount val="7"/>
                <c:pt idx="0">
                  <c:v>AI adoption vs generative AI adoption, marketing &amp; sales</c:v>
                </c:pt>
                <c:pt idx="1">
                  <c:v>Impact of AI on workforce worldwide</c:v>
                </c:pt>
                <c:pt idx="2">
                  <c:v>Impact of AI on workforce worldwide</c:v>
                </c:pt>
                <c:pt idx="3">
                  <c:v>Artificial intelligence impact on labor productivity in 2035</c:v>
                </c:pt>
                <c:pt idx="4">
                  <c:v>Generative AI adoption in India marketing</c:v>
                </c:pt>
                <c:pt idx="5">
                  <c:v>UAE generative AI adoption</c:v>
                </c:pt>
                <c:pt idx="6">
                  <c:v>Enterprise productivity software market size</c:v>
                </c:pt>
              </c:strCache>
            </c:strRef>
          </c:cat>
          <c:val>
            <c:numRef>
              <c:f>'S10 Statista Benchmarks'!$D$9:$D$15</c:f>
              <c:numCache>
                <c:formatCode>General</c:formatCode>
                <c:ptCount val="7"/>
              </c:numCache>
            </c:numRef>
          </c:val>
        </c:ser>
        <c:gapWidth val="150"/>
        <c:overlap val="0"/>
        <c:axId val="96827669"/>
        <c:axId val="16911122"/>
      </c:barChart>
      <c:catAx>
        <c:axId val="968276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11122"/>
        <c:crosses val="autoZero"/>
        <c:auto val="1"/>
        <c:lblAlgn val="ctr"/>
        <c:lblOffset val="100"/>
        <c:noMultiLvlLbl val="0"/>
      </c:catAx>
      <c:valAx>
        <c:axId val="16911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Percent / index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27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170640</xdr:rowOff>
    </xdr:from>
    <xdr:to>
      <xdr:col>3</xdr:col>
      <xdr:colOff>739080</xdr:colOff>
      <xdr:row>31</xdr:row>
      <xdr:rowOff>1800</xdr:rowOff>
    </xdr:to>
    <xdr:graphicFrame>
      <xdr:nvGraphicFramePr>
        <xdr:cNvPr id="0" name="Chart 1"/>
        <xdr:cNvGraphicFramePr/>
      </xdr:nvGraphicFramePr>
      <xdr:xfrm>
        <a:off x="211320" y="3189960"/>
        <a:ext cx="5038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231840</xdr:rowOff>
    </xdr:from>
    <xdr:to>
      <xdr:col>3</xdr:col>
      <xdr:colOff>809640</xdr:colOff>
      <xdr:row>29</xdr:row>
      <xdr:rowOff>66600</xdr:rowOff>
    </xdr:to>
    <xdr:graphicFrame>
      <xdr:nvGraphicFramePr>
        <xdr:cNvPr id="1" name="Chart 1"/>
        <xdr:cNvGraphicFramePr/>
      </xdr:nvGraphicFramePr>
      <xdr:xfrm>
        <a:off x="211320" y="3175200"/>
        <a:ext cx="5038920" cy="286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134640</xdr:rowOff>
    </xdr:from>
    <xdr:to>
      <xdr:col>3</xdr:col>
      <xdr:colOff>739080</xdr:colOff>
      <xdr:row>30</xdr:row>
      <xdr:rowOff>155880</xdr:rowOff>
    </xdr:to>
    <xdr:graphicFrame>
      <xdr:nvGraphicFramePr>
        <xdr:cNvPr id="2" name="Chart 1"/>
        <xdr:cNvGraphicFramePr/>
      </xdr:nvGraphicFramePr>
      <xdr:xfrm>
        <a:off x="211320" y="3182760"/>
        <a:ext cx="503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37440</xdr:rowOff>
    </xdr:from>
    <xdr:to>
      <xdr:col>3</xdr:col>
      <xdr:colOff>668880</xdr:colOff>
      <xdr:row>32</xdr:row>
      <xdr:rowOff>58680</xdr:rowOff>
    </xdr:to>
    <xdr:graphicFrame>
      <xdr:nvGraphicFramePr>
        <xdr:cNvPr id="3" name="Chart 1"/>
        <xdr:cNvGraphicFramePr/>
      </xdr:nvGraphicFramePr>
      <xdr:xfrm>
        <a:off x="211320" y="3380760"/>
        <a:ext cx="503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138600</xdr:rowOff>
    </xdr:from>
    <xdr:to>
      <xdr:col>3</xdr:col>
      <xdr:colOff>880200</xdr:colOff>
      <xdr:row>32</xdr:row>
      <xdr:rowOff>66600</xdr:rowOff>
    </xdr:to>
    <xdr:graphicFrame>
      <xdr:nvGraphicFramePr>
        <xdr:cNvPr id="4" name="Chart 1"/>
        <xdr:cNvGraphicFramePr/>
      </xdr:nvGraphicFramePr>
      <xdr:xfrm>
        <a:off x="211320" y="3738960"/>
        <a:ext cx="5038920" cy="287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171000</xdr:rowOff>
    </xdr:from>
    <xdr:to>
      <xdr:col>3</xdr:col>
      <xdr:colOff>668880</xdr:colOff>
      <xdr:row>30</xdr:row>
      <xdr:rowOff>1800</xdr:rowOff>
    </xdr:to>
    <xdr:graphicFrame>
      <xdr:nvGraphicFramePr>
        <xdr:cNvPr id="5" name="Chart 1"/>
        <xdr:cNvGraphicFramePr/>
      </xdr:nvGraphicFramePr>
      <xdr:xfrm>
        <a:off x="211320" y="299988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110520</xdr:rowOff>
    </xdr:from>
    <xdr:to>
      <xdr:col>3</xdr:col>
      <xdr:colOff>1796400</xdr:colOff>
      <xdr:row>29</xdr:row>
      <xdr:rowOff>131760</xdr:rowOff>
    </xdr:to>
    <xdr:graphicFrame>
      <xdr:nvGraphicFramePr>
        <xdr:cNvPr id="6" name="Chart 1"/>
        <xdr:cNvGraphicFramePr/>
      </xdr:nvGraphicFramePr>
      <xdr:xfrm>
        <a:off x="211320" y="3358440"/>
        <a:ext cx="503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47160</xdr:rowOff>
    </xdr:from>
    <xdr:to>
      <xdr:col>5</xdr:col>
      <xdr:colOff>1021320</xdr:colOff>
      <xdr:row>18</xdr:row>
      <xdr:rowOff>157680</xdr:rowOff>
    </xdr:to>
    <xdr:graphicFrame>
      <xdr:nvGraphicFramePr>
        <xdr:cNvPr id="7" name="Chart 1"/>
        <xdr:cNvGraphicFramePr/>
      </xdr:nvGraphicFramePr>
      <xdr:xfrm>
        <a:off x="211320" y="34290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doptionGap" displayName="AdoptionGap" ref="B8:E16" headerRowCount="1" totalsRowCount="0" totalsRowShown="0">
  <autoFilter ref="B8:E16"/>
  <tableColumns count="4">
    <tableColumn id="1" name="Metric"/>
    <tableColumn id="2" name="Share (%)"/>
    <tableColumn id="3" name="Type"/>
    <tableColumn id="4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eterogeneity" displayName="Heterogeneity" ref="B8:G13" headerRowCount="1" totalsRowCount="0" totalsRowShown="0">
  <autoFilter ref="B8:G13"/>
  <tableColumns count="6">
    <tableColumn id="1" name="Function"/>
    <tableColumn id="2" name="Higher-gain segment"/>
    <tableColumn id="3" name="Higher-gain effect (%)"/>
    <tableColumn id="4" name="Lower-gain segment"/>
    <tableColumn id="5" name="Lower-gain effect (%)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aborExposure" displayName="LaborExposure" ref="B8:E15" headerRowCount="1" totalsRowCount="0" totalsRowShown="0">
  <autoFilter ref="B8:E15"/>
  <tableColumns count="4">
    <tableColumn id="1" name="Metric"/>
    <tableColumn id="2" name="Share (%)"/>
    <tableColumn id="3" name="Source"/>
    <tableColumn id="4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croTFP" displayName="MacroTFP" ref="B8:G15" headerRowCount="1" totalsRowCount="0" totalsRowShown="0">
  <autoFilter ref="B8:G15"/>
  <tableColumns count="6">
    <tableColumn id="1" name="Source"/>
    <tableColumn id="2" name="Year"/>
    <tableColumn id="3" name="Annual uplift (pp)"/>
    <tableColumn id="4" name="Metric"/>
    <tableColumn id="5" name="Geography"/>
    <tableColumn id="6" name="Cave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icingCases" displayName="PricingCases" ref="B8:G13" headerRowCount="1" totalsRowCount="0" totalsRowShown="0">
  <autoFilter ref="B8:G13"/>
  <tableColumns count="6">
    <tableColumn id="1" name="Company"/>
    <tableColumn id="2" name="Model"/>
    <tableColumn id="3" name="Price point"/>
    <tableColumn id="4" name="Value metric"/>
    <tableColumn id="5" name="Value evidence"/>
    <tableColumn id="6" name="Key cave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cingLadder" displayName="PricingLadder" ref="B8:E13" headerRowCount="1" totalsRowCount="0" totalsRowShown="0">
  <autoFilter ref="B8:E13"/>
  <tableColumns count="4">
    <tableColumn id="1" name="Value uplift zone"/>
    <tableColumn id="2" name="Buyer response"/>
    <tableColumn id="3" name="Pricing model implication"/>
    <tableColumn id="4" name="Vendor strateg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admeSheets" displayName="ReadmeSheets" ref="B8:C18" headerRowCount="1" totalsRowCount="0" totalsRowShown="0">
  <autoFilter ref="B8:C18"/>
  <tableColumns count="2">
    <tableColumn id="1" name="Sheet"/>
    <tableColumn id="2" name="Purp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orBands" displayName="SectorBands" ref="B8:G17" headerRowCount="1" totalsRowCount="0" totalsRowShown="0">
  <autoFilter ref="B8:G17"/>
  <tableColumns count="6">
    <tableColumn id="1" name="Workflow"/>
    <tableColumn id="2" name="Low effect (%)"/>
    <tableColumn id="3" name="Central effect (%)"/>
    <tableColumn id="4" name="High effect (%)"/>
    <tableColumn id="5" name="Confidence"/>
    <tableColumn id="6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Register" displayName="SourceRegister" ref="B8:D30" headerRowCount="1" totalsRowCount="0" totalsRowShown="0">
  <autoFilter ref="B8:D30"/>
  <tableColumns count="3">
    <tableColumn id="1" name="Source"/>
    <tableColumn id="2" name="Use"/>
    <tableColumn id="3" name="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tatistaBenchmarks" displayName="StatistaBenchmarks" ref="B8:H15" headerRowCount="1" totalsRowCount="0" totalsRowShown="0">
  <autoFilter ref="B8:H15"/>
  <tableColumns count="7">
    <tableColumn id="1" name="Statista item"/>
    <tableColumn id="2" name="Value"/>
    <tableColumn id="3" name="Unit"/>
    <tableColumn id="4" name="Geography"/>
    <tableColumn id="5" name="Original source"/>
    <tableColumn id="6" name="Statista URL"/>
    <tableColumn id="7" name="Interpret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kExperiments" displayName="TaskExperiments" ref="B8:G16" headerRowCount="1" totalsRowCount="0" totalsRowShown="0">
  <autoFilter ref="B8:G16"/>
  <tableColumns count="6">
    <tableColumn id="1" name="Function"/>
    <tableColumn id="2" name="Study"/>
    <tableColumn id="3" name="Effect (%)"/>
    <tableColumn id="4" name="Metric"/>
    <tableColumn id="5" name="Confidence"/>
    <tableColumn id="6" name="Cavea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ValueCalculator" displayName="ValueCalculator" ref="B8:K14" headerRowCount="1" totalsRowCount="0" totalsRowShown="0">
  <autoFilter ref="B8:K14"/>
  <tableColumns count="10">
    <tableColumn id="1" name="Role / workflow"/>
    <tableColumn id="2" name="Loaded hourly cost ($)"/>
    <tableColumn id="3" name="Addressable hours / week"/>
    <tableColumn id="4" name="Productivity uplift (%)"/>
    <tableColumn id="5" name="Recoverable share (%)"/>
    <tableColumn id="6" name="Gross value / week ($)"/>
    <tableColumn id="7" name="Monthly value ($)"/>
    <tableColumn id="8" name="Target ROI multiple"/>
    <tableColumn id="9" name="Defensible monthly price ($)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487" TargetMode="External"/><Relationship Id="rId2" Type="http://schemas.openxmlformats.org/officeDocument/2006/relationships/hyperlink" Target="https://www.oecd.org/en/publications/miracle-or-myth-assessing-the-macroeconomic-productivity-gains-from-artificial-intelligence_b524a072-en.html" TargetMode="External"/><Relationship Id="rId3" Type="http://schemas.openxmlformats.org/officeDocument/2006/relationships/hyperlink" Target="https://www.goldmansachs.com/insights/articles/generative-ai-could-raise-global-gdp-by-7-percent" TargetMode="External"/><Relationship Id="rId4" Type="http://schemas.openxmlformats.org/officeDocument/2006/relationships/hyperlink" Target="https://www.mckinsey.com/capabilities/tech-and-ai/our-insights/the-economic-potential-of-generative-ai-the-next-productivity-frontier" TargetMode="External"/><Relationship Id="rId5" Type="http://schemas.openxmlformats.org/officeDocument/2006/relationships/drawing" Target="../drawings/drawing1.xml"/><Relationship Id="rId6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966" TargetMode="External"/><Relationship Id="rId2" Type="http://schemas.openxmlformats.org/officeDocument/2006/relationships/hyperlink" Target="https://www.stlouisfed.org/open-vault/2025/oct/generative-ai-productivity-future-work" TargetMode="External"/><Relationship Id="rId3" Type="http://schemas.openxmlformats.org/officeDocument/2006/relationships/hyperlink" Target="https://oecdecoscope.blog/2024/11/26/miracle-or-myth-assessing-the-macroeconomic-productivity-gains-from-artificial-intelligence/" TargetMode="External"/><Relationship Id="rId4" Type="http://schemas.openxmlformats.org/officeDocument/2006/relationships/drawing" Target="../drawings/drawing2.xml"/><Relationship Id="rId5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mf.org/en/blogs/articles/2024/01/14/ai-will-transform-the-global-economy-lets-make-sure-it-benefits-humanity" TargetMode="External"/><Relationship Id="rId2" Type="http://schemas.openxmlformats.org/officeDocument/2006/relationships/hyperlink" Target="https://www.goldmansachs.com/insights/articles/generative-ai-could-raise-global-gdp-by-7-percent" TargetMode="External"/><Relationship Id="rId3" Type="http://schemas.openxmlformats.org/officeDocument/2006/relationships/hyperlink" Target="https://www.nber.org/papers/w32966" TargetMode="External"/><Relationship Id="rId4" Type="http://schemas.openxmlformats.org/officeDocument/2006/relationships/drawing" Target="../drawings/drawing3.xml"/><Relationship Id="rId5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1161" TargetMode="External"/><Relationship Id="rId2" Type="http://schemas.openxmlformats.org/officeDocument/2006/relationships/hyperlink" Target="https://www.hbs.edu/faculty/Pages/item.aspx?num=64700" TargetMode="External"/><Relationship Id="rId3" Type="http://schemas.openxmlformats.org/officeDocument/2006/relationships/hyperlink" Target="https://cepr.org/voxeu/columns/productivity-effects-generative-artificial-intelligence" TargetMode="External"/><Relationship Id="rId4" Type="http://schemas.openxmlformats.org/officeDocument/2006/relationships/hyperlink" Target="https://arxiv.org/abs/2302.06590" TargetMode="External"/><Relationship Id="rId5" Type="http://schemas.openxmlformats.org/officeDocument/2006/relationships/hyperlink" Target="https://metr.org/blog/2025-07-10-early-2025-ai-experienced-os-dev-study/" TargetMode="External"/><Relationship Id="rId6" Type="http://schemas.openxmlformats.org/officeDocument/2006/relationships/drawing" Target="../drawings/drawing4.xml"/><Relationship Id="rId7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1161" TargetMode="External"/><Relationship Id="rId2" Type="http://schemas.openxmlformats.org/officeDocument/2006/relationships/hyperlink" Target="https://www.hbs.edu/faculty/Pages/item.aspx?num=64700" TargetMode="External"/><Relationship Id="rId3" Type="http://schemas.openxmlformats.org/officeDocument/2006/relationships/hyperlink" Target="https://cepr.org/voxeu/columns/productivity-effects-generative-artificial-intelligence" TargetMode="External"/><Relationship Id="rId4" Type="http://schemas.openxmlformats.org/officeDocument/2006/relationships/hyperlink" Target="https://www.library.hbs.edu/working-knowledge/gen-ai-boosts-productivity-but-cant-turn-novices-into-experts" TargetMode="External"/><Relationship Id="rId5" Type="http://schemas.openxmlformats.org/officeDocument/2006/relationships/drawing" Target="../drawings/drawing6.xml"/><Relationship Id="rId6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bcg.com/publications/2025/rethinking-b2b-software-pricing-in-the-era-of-ai" TargetMode="External"/><Relationship Id="rId2" Type="http://schemas.openxmlformats.org/officeDocument/2006/relationships/hyperlink" Target="https://www.bain.com/insights/per-seat-software-pricing-isnt-dead-but-new-models-are-gaining-steam/" TargetMode="External"/><Relationship Id="rId3" Type="http://schemas.openxmlformats.org/officeDocument/2006/relationships/hyperlink" Target="https://a16z.com/newsletter/december-2024-enterprise-newsletter-ai-is-driving-a-shift-towards-outcome-based-pricing/" TargetMode="External"/><Relationship Id="rId4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intercom.com/pricing" TargetMode="External"/><Relationship Id="rId2" Type="http://schemas.openxmlformats.org/officeDocument/2006/relationships/hyperlink" Target="https://www.salesforce.com/agentforce/pricing/" TargetMode="External"/><Relationship Id="rId3" Type="http://schemas.openxmlformats.org/officeDocument/2006/relationships/hyperlink" Target="https://www.microsoft.com/en-us/microsoft-365/blog/2024/10/17/microsoft-365-copilot-drove-up-to-353-roi-for-small-and-medium-businesses-new-study/" TargetMode="External"/><Relationship Id="rId4" Type="http://schemas.openxmlformats.org/officeDocument/2006/relationships/hyperlink" Target="https://docs.github.com/en/copilot/get-started/plans" TargetMode="External"/><Relationship Id="rId5" Type="http://schemas.openxmlformats.org/officeDocument/2006/relationships/hyperlink" Target="https://developers.openai.com/api/docs/pricing" TargetMode="External"/><Relationship Id="rId6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cashmere.io/v/klMFtxkBx" TargetMode="External"/><Relationship Id="rId2" Type="http://schemas.openxmlformats.org/officeDocument/2006/relationships/hyperlink" Target="https://cashmere.io/v/B7qHhEH06" TargetMode="External"/><Relationship Id="rId3" Type="http://schemas.openxmlformats.org/officeDocument/2006/relationships/hyperlink" Target="https://cashmere.io/v/B7qHhEH06" TargetMode="External"/><Relationship Id="rId4" Type="http://schemas.openxmlformats.org/officeDocument/2006/relationships/hyperlink" Target="https://cashmere.io/v/kGsLIAodH" TargetMode="External"/><Relationship Id="rId5" Type="http://schemas.openxmlformats.org/officeDocument/2006/relationships/hyperlink" Target="https://cashmere.io/v/GGNrDNXhF" TargetMode="External"/><Relationship Id="rId6" Type="http://schemas.openxmlformats.org/officeDocument/2006/relationships/hyperlink" Target="https://cashmere.io/v/Z6u4doJKR" TargetMode="External"/><Relationship Id="rId7" Type="http://schemas.openxmlformats.org/officeDocument/2006/relationships/hyperlink" Target="https://cashmere.io/v/xdtU59GOw" TargetMode="External"/><Relationship Id="rId8" Type="http://schemas.openxmlformats.org/officeDocument/2006/relationships/drawing" Target="../drawings/drawing8.xml"/><Relationship Id="rId9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487" TargetMode="External"/><Relationship Id="rId2" Type="http://schemas.openxmlformats.org/officeDocument/2006/relationships/hyperlink" Target="https://www.nber.org/papers/w32966" TargetMode="External"/><Relationship Id="rId3" Type="http://schemas.openxmlformats.org/officeDocument/2006/relationships/hyperlink" Target="https://www.stlouisfed.org/open-vault/2025/oct/generative-ai-productivity-future-work" TargetMode="External"/><Relationship Id="rId4" Type="http://schemas.openxmlformats.org/officeDocument/2006/relationships/hyperlink" Target="https://www.imf.org/en/blogs/articles/2024/01/14/ai-will-transform-the-global-economy-lets-make-sure-it-benefits-humanity" TargetMode="External"/><Relationship Id="rId5" Type="http://schemas.openxmlformats.org/officeDocument/2006/relationships/hyperlink" Target="https://www.oecd.org/en/publications/miracle-or-myth-assessing-the-macroeconomic-productivity-gains-from-artificial-intelligence_b524a072-en.html" TargetMode="External"/><Relationship Id="rId6" Type="http://schemas.openxmlformats.org/officeDocument/2006/relationships/hyperlink" Target="https://www.pwc.com/gx/en/services/ai/ai-jobs-barometer.html" TargetMode="External"/><Relationship Id="rId7" Type="http://schemas.openxmlformats.org/officeDocument/2006/relationships/hyperlink" Target="https://www.mckinsey.com/capabilities/tech-and-ai/our-insights/the-economic-potential-of-generative-ai-the-next-productivity-frontier" TargetMode="External"/><Relationship Id="rId8" Type="http://schemas.openxmlformats.org/officeDocument/2006/relationships/hyperlink" Target="https://www.goldmansachs.com/insights/articles/generative-ai-could-raise-global-gdp-by-7-percent" TargetMode="External"/><Relationship Id="rId9" Type="http://schemas.openxmlformats.org/officeDocument/2006/relationships/hyperlink" Target="https://www.nber.org/papers/w31161" TargetMode="External"/><Relationship Id="rId10" Type="http://schemas.openxmlformats.org/officeDocument/2006/relationships/hyperlink" Target="https://www.hbs.edu/faculty/Pages/item.aspx?num=64700" TargetMode="External"/><Relationship Id="rId11" Type="http://schemas.openxmlformats.org/officeDocument/2006/relationships/hyperlink" Target="https://arxiv.org/abs/2302.06590" TargetMode="External"/><Relationship Id="rId12" Type="http://schemas.openxmlformats.org/officeDocument/2006/relationships/hyperlink" Target="https://mit-genai.pubpub.org/pub/v5iixksv" TargetMode="External"/><Relationship Id="rId13" Type="http://schemas.openxmlformats.org/officeDocument/2006/relationships/hyperlink" Target="https://metr.org/blog/2025-07-10-early-2025-ai-experienced-os-dev-study/" TargetMode="External"/><Relationship Id="rId14" Type="http://schemas.openxmlformats.org/officeDocument/2006/relationships/hyperlink" Target="https://cepr.org/voxeu/columns/productivity-effects-generative-artificial-intelligence" TargetMode="External"/><Relationship Id="rId15" Type="http://schemas.openxmlformats.org/officeDocument/2006/relationships/hyperlink" Target="https://www.gov.uk/government/publications/microsoft-365-copilot-experiment-cross-government-findings-report" TargetMode="External"/><Relationship Id="rId16" Type="http://schemas.openxmlformats.org/officeDocument/2006/relationships/hyperlink" Target="https://www.intercom.com/pricing" TargetMode="External"/><Relationship Id="rId17" Type="http://schemas.openxmlformats.org/officeDocument/2006/relationships/hyperlink" Target="https://www.salesforce.com/agentforce/pricing/" TargetMode="External"/><Relationship Id="rId18" Type="http://schemas.openxmlformats.org/officeDocument/2006/relationships/hyperlink" Target="https://www.microsoft.com/en-us/microsoft-365/blog/2024/10/17/microsoft-365-copilot-drove-up-to-353-roi-for-small-and-medium-businesses-new-study/" TargetMode="External"/><Relationship Id="rId19" Type="http://schemas.openxmlformats.org/officeDocument/2006/relationships/hyperlink" Target="https://docs.github.com/en/copilot/get-started/plans" TargetMode="External"/><Relationship Id="rId20" Type="http://schemas.openxmlformats.org/officeDocument/2006/relationships/hyperlink" Target="https://a16z.com/newsletter/december-2024-enterprise-newsletter-ai-is-driving-a-shift-towards-outcome-based-pricing/" TargetMode="External"/><Relationship Id="rId21" Type="http://schemas.openxmlformats.org/officeDocument/2006/relationships/hyperlink" Target="https://www.bcg.com/publications/2025/rethinking-b2b-software-pricing-in-the-era-of-ai" TargetMode="External"/><Relationship Id="rId22" Type="http://schemas.openxmlformats.org/officeDocument/2006/relationships/hyperlink" Target="https://www.bain.com/insights/per-seat-software-pricing-isnt-dead-but-new-models-are-gaining-steam/" TargetMode="External"/><Relationship Id="rId23" Type="http://schemas.openxmlformats.org/officeDocument/2006/relationships/hyperlink" Target="https://cashmere.io/v/klMFtxkBx" TargetMode="External"/><Relationship Id="rId24" Type="http://schemas.openxmlformats.org/officeDocument/2006/relationships/hyperlink" Target="https://cashmere.io/v/B7qHhEH06" TargetMode="External"/><Relationship Id="rId25" Type="http://schemas.openxmlformats.org/officeDocument/2006/relationships/hyperlink" Target="https://cashmere.io/v/kGsLIAodH" TargetMode="External"/><Relationship Id="rId26" Type="http://schemas.openxmlformats.org/officeDocument/2006/relationships/hyperlink" Target="https://cashmere.io/v/xdtU59GOw" TargetMode="External"/><Relationship Id="rId27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4" t="s">
        <v>3</v>
      </c>
      <c r="C5" s="6" t="s">
        <v>4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2"/>
      <c r="B6" s="2"/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5</v>
      </c>
      <c r="C8" s="7" t="s">
        <v>6</v>
      </c>
      <c r="D8" s="2"/>
      <c r="E8" s="2"/>
      <c r="F8" s="2"/>
      <c r="G8" s="2"/>
      <c r="H8" s="2"/>
    </row>
    <row r="9" customFormat="false" ht="42.75" hidden="false" customHeight="true" outlineLevel="0" collapsed="false">
      <c r="A9" s="2"/>
      <c r="B9" s="8" t="s">
        <v>7</v>
      </c>
      <c r="C9" s="9" t="s">
        <v>8</v>
      </c>
      <c r="D9" s="2"/>
      <c r="E9" s="2"/>
      <c r="F9" s="2"/>
      <c r="G9" s="2"/>
      <c r="H9" s="2"/>
    </row>
    <row r="10" customFormat="false" ht="32.25" hidden="false" customHeight="true" outlineLevel="0" collapsed="false">
      <c r="A10" s="2"/>
      <c r="B10" s="8" t="s">
        <v>9</v>
      </c>
      <c r="C10" s="9" t="s">
        <v>10</v>
      </c>
      <c r="D10" s="2"/>
      <c r="E10" s="2"/>
      <c r="F10" s="2"/>
      <c r="G10" s="2"/>
      <c r="H10" s="2"/>
    </row>
    <row r="11" customFormat="false" ht="32.25" hidden="false" customHeight="true" outlineLevel="0" collapsed="false">
      <c r="A11" s="2"/>
      <c r="B11" s="8" t="s">
        <v>11</v>
      </c>
      <c r="C11" s="9" t="s">
        <v>12</v>
      </c>
      <c r="D11" s="2"/>
      <c r="E11" s="2"/>
      <c r="F11" s="2"/>
      <c r="G11" s="2"/>
      <c r="H11" s="2"/>
    </row>
    <row r="12" customFormat="false" ht="32.25" hidden="false" customHeight="true" outlineLevel="0" collapsed="false">
      <c r="A12" s="2"/>
      <c r="B12" s="8" t="s">
        <v>13</v>
      </c>
      <c r="C12" s="9" t="s">
        <v>14</v>
      </c>
      <c r="D12" s="2"/>
      <c r="E12" s="2"/>
      <c r="F12" s="2"/>
      <c r="G12" s="2"/>
      <c r="H12" s="2"/>
    </row>
    <row r="13" customFormat="false" ht="32.25" hidden="false" customHeight="true" outlineLevel="0" collapsed="false">
      <c r="A13" s="2"/>
      <c r="B13" s="9" t="s">
        <v>15</v>
      </c>
      <c r="C13" s="9" t="s">
        <v>16</v>
      </c>
      <c r="D13" s="2"/>
      <c r="E13" s="2"/>
      <c r="F13" s="2"/>
      <c r="G13" s="2"/>
      <c r="H13" s="2"/>
    </row>
    <row r="14" customFormat="false" ht="32.25" hidden="false" customHeight="true" outlineLevel="0" collapsed="false">
      <c r="A14" s="2"/>
      <c r="B14" s="8" t="s">
        <v>17</v>
      </c>
      <c r="C14" s="9" t="s">
        <v>18</v>
      </c>
      <c r="D14" s="2"/>
      <c r="E14" s="2"/>
      <c r="F14" s="2"/>
      <c r="G14" s="2"/>
      <c r="H14" s="2"/>
    </row>
    <row r="15" customFormat="false" ht="21.75" hidden="false" customHeight="true" outlineLevel="0" collapsed="false">
      <c r="A15" s="2"/>
      <c r="B15" s="8" t="s">
        <v>19</v>
      </c>
      <c r="C15" s="9" t="s">
        <v>20</v>
      </c>
      <c r="D15" s="2"/>
      <c r="E15" s="2"/>
      <c r="F15" s="2"/>
      <c r="G15" s="2"/>
      <c r="H15" s="2"/>
    </row>
    <row r="16" customFormat="false" ht="32.25" hidden="false" customHeight="true" outlineLevel="0" collapsed="false">
      <c r="A16" s="2"/>
      <c r="B16" s="8" t="s">
        <v>21</v>
      </c>
      <c r="C16" s="9" t="s">
        <v>22</v>
      </c>
      <c r="D16" s="2"/>
      <c r="E16" s="2"/>
      <c r="F16" s="2"/>
      <c r="G16" s="2"/>
      <c r="H16" s="2"/>
    </row>
    <row r="17" customFormat="false" ht="32.25" hidden="false" customHeight="true" outlineLevel="0" collapsed="false">
      <c r="A17" s="2"/>
      <c r="B17" s="8" t="s">
        <v>23</v>
      </c>
      <c r="C17" s="9" t="s">
        <v>24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10" t="s">
        <v>25</v>
      </c>
      <c r="C18" s="10" t="s">
        <v>26</v>
      </c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8" t="s">
        <v>27</v>
      </c>
      <c r="C19" s="9" t="s">
        <v>28</v>
      </c>
      <c r="D19" s="2"/>
      <c r="E19" s="2"/>
      <c r="F19" s="2"/>
      <c r="G19" s="2"/>
      <c r="H19" s="2"/>
    </row>
  </sheetData>
  <mergeCells count="2">
    <mergeCell ref="C3:H4"/>
    <mergeCell ref="C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9"/>
    <col collapsed="false" customWidth="true" hidden="false" outlineLevel="0" max="6" min="6" style="1" width="12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29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30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25" hidden="false" customHeight="true" outlineLevel="0" collapsed="false">
      <c r="A8" s="2"/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2"/>
    </row>
    <row r="9" customFormat="false" ht="15" hidden="false" customHeight="true" outlineLevel="0" collapsed="false">
      <c r="A9" s="2"/>
      <c r="B9" s="8" t="s">
        <v>37</v>
      </c>
      <c r="C9" s="8" t="n">
        <v>2024</v>
      </c>
      <c r="D9" s="11" t="n">
        <v>0.07</v>
      </c>
      <c r="E9" s="8" t="s">
        <v>38</v>
      </c>
      <c r="F9" s="8" t="s">
        <v>39</v>
      </c>
      <c r="G9" s="9" t="s">
        <v>40</v>
      </c>
      <c r="H9" s="2"/>
    </row>
    <row r="10" customFormat="false" ht="15" hidden="false" customHeight="true" outlineLevel="0" collapsed="false">
      <c r="A10" s="2"/>
      <c r="B10" s="8" t="s">
        <v>41</v>
      </c>
      <c r="C10" s="8" t="n">
        <v>2025</v>
      </c>
      <c r="D10" s="11" t="n">
        <v>0.15</v>
      </c>
      <c r="E10" s="8" t="s">
        <v>38</v>
      </c>
      <c r="F10" s="8" t="s">
        <v>39</v>
      </c>
      <c r="G10" s="9" t="s">
        <v>42</v>
      </c>
      <c r="H10" s="2"/>
    </row>
    <row r="11" customFormat="false" ht="15" hidden="false" customHeight="true" outlineLevel="0" collapsed="false">
      <c r="A11" s="2"/>
      <c r="B11" s="8" t="s">
        <v>43</v>
      </c>
      <c r="C11" s="8" t="n">
        <v>2024</v>
      </c>
      <c r="D11" s="11" t="n">
        <v>0.25</v>
      </c>
      <c r="E11" s="8" t="s">
        <v>38</v>
      </c>
      <c r="F11" s="8" t="s">
        <v>39</v>
      </c>
      <c r="G11" s="9" t="s">
        <v>44</v>
      </c>
      <c r="H11" s="2"/>
    </row>
    <row r="12" customFormat="false" ht="15" hidden="false" customHeight="true" outlineLevel="0" collapsed="false">
      <c r="A12" s="2"/>
      <c r="B12" s="8" t="s">
        <v>45</v>
      </c>
      <c r="C12" s="8" t="n">
        <v>2024</v>
      </c>
      <c r="D12" s="11" t="n">
        <v>0.6</v>
      </c>
      <c r="E12" s="8" t="s">
        <v>38</v>
      </c>
      <c r="F12" s="8" t="s">
        <v>39</v>
      </c>
      <c r="G12" s="9" t="s">
        <v>46</v>
      </c>
      <c r="H12" s="2"/>
    </row>
    <row r="13" customFormat="false" ht="15" hidden="false" customHeight="true" outlineLevel="0" collapsed="false">
      <c r="A13" s="2"/>
      <c r="B13" s="8" t="s">
        <v>47</v>
      </c>
      <c r="C13" s="8" t="n">
        <v>2023</v>
      </c>
      <c r="D13" s="11" t="n">
        <v>0.1</v>
      </c>
      <c r="E13" s="8" t="s">
        <v>48</v>
      </c>
      <c r="F13" s="8" t="s">
        <v>49</v>
      </c>
      <c r="G13" s="9" t="s">
        <v>50</v>
      </c>
      <c r="H13" s="2"/>
    </row>
    <row r="14" customFormat="false" ht="15" hidden="false" customHeight="true" outlineLevel="0" collapsed="false">
      <c r="A14" s="2"/>
      <c r="B14" s="8" t="s">
        <v>51</v>
      </c>
      <c r="C14" s="8" t="n">
        <v>2023</v>
      </c>
      <c r="D14" s="11" t="n">
        <v>0.6</v>
      </c>
      <c r="E14" s="8" t="s">
        <v>48</v>
      </c>
      <c r="F14" s="8" t="s">
        <v>49</v>
      </c>
      <c r="G14" s="9" t="s">
        <v>52</v>
      </c>
      <c r="H14" s="2"/>
    </row>
    <row r="15" customFormat="false" ht="15" hidden="false" customHeight="true" outlineLevel="0" collapsed="false">
      <c r="A15" s="2"/>
      <c r="B15" s="8" t="s">
        <v>53</v>
      </c>
      <c r="C15" s="8" t="n">
        <v>2023</v>
      </c>
      <c r="D15" s="11" t="n">
        <v>1.5</v>
      </c>
      <c r="E15" s="8" t="s">
        <v>48</v>
      </c>
      <c r="F15" s="8" t="s">
        <v>54</v>
      </c>
      <c r="G15" s="9" t="s">
        <v>55</v>
      </c>
      <c r="H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4" t="s">
        <v>56</v>
      </c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7" t="s">
        <v>31</v>
      </c>
      <c r="C19" s="7" t="s">
        <v>57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58</v>
      </c>
      <c r="C20" s="12" t="s">
        <v>59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60</v>
      </c>
      <c r="C21" s="12" t="s">
        <v>61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53</v>
      </c>
      <c r="C22" s="12" t="s">
        <v>62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9" t="s">
        <v>63</v>
      </c>
      <c r="C23" s="12" t="s">
        <v>64</v>
      </c>
      <c r="D23" s="2"/>
      <c r="E23" s="2"/>
      <c r="F23" s="2"/>
      <c r="G23" s="2"/>
      <c r="H23" s="2"/>
    </row>
  </sheetData>
  <mergeCells count="1">
    <mergeCell ref="C3:H4"/>
  </mergeCells>
  <hyperlinks>
    <hyperlink ref="C20" r:id="rId1" display="https://www.nber.org/papers/w32487"/>
    <hyperlink ref="C21" r:id="rId2" display="https://www.oecd.org/en/publications/miracle-or-myth-assessing-the-macroeconomic-productivity-gains-from-artificial-intelligence_b524a072-en.html"/>
    <hyperlink ref="C22" r:id="rId3" display="https://www.goldmansachs.com/insights/articles/generative-ai-could-raise-global-gdp-by-7-percent"/>
    <hyperlink ref="C23" r:id="rId4" display="https://www.mckinsey.com/capabilities/tech-and-ai/our-insights/the-economic-potential-of-generative-ai-the-next-productivity-fronti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  <tableParts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19"/>
    <col collapsed="false" customWidth="true" hidden="false" outlineLevel="0" max="5" min="5" style="1" width="21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65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66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34</v>
      </c>
      <c r="C8" s="7" t="s">
        <v>67</v>
      </c>
      <c r="D8" s="7" t="s">
        <v>68</v>
      </c>
      <c r="E8" s="7" t="s">
        <v>31</v>
      </c>
      <c r="F8" s="2"/>
      <c r="G8" s="2"/>
      <c r="H8" s="2"/>
    </row>
    <row r="9" customFormat="false" ht="15" hidden="false" customHeight="true" outlineLevel="0" collapsed="false">
      <c r="A9" s="2"/>
      <c r="B9" s="9" t="s">
        <v>69</v>
      </c>
      <c r="C9" s="13" t="n">
        <v>39.4</v>
      </c>
      <c r="D9" s="8" t="s">
        <v>70</v>
      </c>
      <c r="E9" s="8" t="s">
        <v>71</v>
      </c>
      <c r="F9" s="2"/>
      <c r="G9" s="2"/>
      <c r="H9" s="2"/>
    </row>
    <row r="10" customFormat="false" ht="21.75" hidden="false" customHeight="true" outlineLevel="0" collapsed="false">
      <c r="A10" s="2"/>
      <c r="B10" s="9" t="s">
        <v>72</v>
      </c>
      <c r="C10" s="13" t="n">
        <v>23</v>
      </c>
      <c r="D10" s="8" t="s">
        <v>73</v>
      </c>
      <c r="E10" s="8" t="s">
        <v>71</v>
      </c>
      <c r="F10" s="2"/>
      <c r="G10" s="2"/>
      <c r="H10" s="2"/>
    </row>
    <row r="11" customFormat="false" ht="15" hidden="false" customHeight="true" outlineLevel="0" collapsed="false">
      <c r="A11" s="2"/>
      <c r="B11" s="9" t="s">
        <v>74</v>
      </c>
      <c r="C11" s="13" t="n">
        <v>9</v>
      </c>
      <c r="D11" s="8" t="s">
        <v>75</v>
      </c>
      <c r="E11" s="8" t="s">
        <v>71</v>
      </c>
      <c r="F11" s="2"/>
      <c r="G11" s="2"/>
      <c r="H11" s="2"/>
    </row>
    <row r="12" customFormat="false" ht="21.75" hidden="false" customHeight="true" outlineLevel="0" collapsed="false">
      <c r="A12" s="2"/>
      <c r="B12" s="9" t="s">
        <v>76</v>
      </c>
      <c r="C12" s="13" t="n">
        <v>1</v>
      </c>
      <c r="D12" s="8" t="s">
        <v>77</v>
      </c>
      <c r="E12" s="8" t="s">
        <v>71</v>
      </c>
      <c r="F12" s="2"/>
      <c r="G12" s="2"/>
      <c r="H12" s="2"/>
    </row>
    <row r="13" customFormat="false" ht="21.75" hidden="false" customHeight="true" outlineLevel="0" collapsed="false">
      <c r="A13" s="2"/>
      <c r="B13" s="9" t="s">
        <v>78</v>
      </c>
      <c r="C13" s="13" t="n">
        <v>7</v>
      </c>
      <c r="D13" s="8" t="s">
        <v>77</v>
      </c>
      <c r="E13" s="8" t="s">
        <v>71</v>
      </c>
      <c r="F13" s="2"/>
      <c r="G13" s="2"/>
      <c r="H13" s="2"/>
    </row>
    <row r="14" customFormat="false" ht="15" hidden="false" customHeight="true" outlineLevel="0" collapsed="false">
      <c r="A14" s="2"/>
      <c r="B14" s="8" t="s">
        <v>79</v>
      </c>
      <c r="C14" s="13" t="n">
        <v>5.4</v>
      </c>
      <c r="D14" s="8" t="s">
        <v>80</v>
      </c>
      <c r="E14" s="8" t="s">
        <v>81</v>
      </c>
      <c r="F14" s="2"/>
      <c r="G14" s="2"/>
      <c r="H14" s="2"/>
    </row>
    <row r="15" customFormat="false" ht="21.75" hidden="false" customHeight="true" outlineLevel="0" collapsed="false">
      <c r="A15" s="2"/>
      <c r="B15" s="9" t="s">
        <v>82</v>
      </c>
      <c r="C15" s="13" t="n">
        <v>5</v>
      </c>
      <c r="D15" s="8" t="s">
        <v>83</v>
      </c>
      <c r="E15" s="8" t="s">
        <v>84</v>
      </c>
      <c r="F15" s="2"/>
      <c r="G15" s="2"/>
      <c r="H15" s="2"/>
    </row>
    <row r="16" customFormat="false" ht="21.75" hidden="false" customHeight="true" outlineLevel="0" collapsed="false">
      <c r="A16" s="2"/>
      <c r="B16" s="9" t="s">
        <v>85</v>
      </c>
      <c r="C16" s="13" t="n">
        <v>15</v>
      </c>
      <c r="D16" s="8" t="s">
        <v>83</v>
      </c>
      <c r="E16" s="8" t="s">
        <v>84</v>
      </c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4" t="s">
        <v>56</v>
      </c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7" t="s">
        <v>31</v>
      </c>
      <c r="C20" s="7" t="s">
        <v>57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86</v>
      </c>
      <c r="C21" s="12" t="s">
        <v>87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9" t="s">
        <v>88</v>
      </c>
      <c r="C22" s="12" t="s">
        <v>89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8" t="s">
        <v>90</v>
      </c>
      <c r="C23" s="12" t="s">
        <v>91</v>
      </c>
      <c r="D23" s="2"/>
      <c r="E23" s="2"/>
      <c r="F23" s="2"/>
      <c r="G23" s="2"/>
      <c r="H23" s="2"/>
    </row>
  </sheetData>
  <mergeCells count="1">
    <mergeCell ref="C3:H4"/>
  </mergeCells>
  <hyperlinks>
    <hyperlink ref="C21" r:id="rId1" display="https://www.nber.org/papers/w32966"/>
    <hyperlink ref="C22" r:id="rId2" display="https://www.stlouisfed.org/open-vault/2025/oct/generative-ai-productivity-future-work"/>
    <hyperlink ref="C23" r:id="rId3" display="https://oecdecoscope.blog/2024/11/26/miracle-or-myth-assessing-the-macroeconomic-productivity-gains-from-artificial-intelligenc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tableParts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34"/>
    <col collapsed="false" customWidth="true" hidden="false" outlineLevel="0" max="4" min="4" style="1" width="21"/>
    <col collapsed="false" customWidth="true" hidden="false" outlineLevel="0" max="5" min="5" style="1" width="1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92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93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34</v>
      </c>
      <c r="C8" s="7" t="s">
        <v>67</v>
      </c>
      <c r="D8" s="7" t="s">
        <v>31</v>
      </c>
      <c r="E8" s="7" t="s">
        <v>68</v>
      </c>
      <c r="F8" s="2"/>
      <c r="G8" s="2"/>
      <c r="H8" s="2"/>
    </row>
    <row r="9" customFormat="false" ht="15" hidden="false" customHeight="true" outlineLevel="0" collapsed="false">
      <c r="A9" s="2"/>
      <c r="B9" s="9" t="s">
        <v>94</v>
      </c>
      <c r="C9" s="13" t="n">
        <v>40</v>
      </c>
      <c r="D9" s="8" t="s">
        <v>95</v>
      </c>
      <c r="E9" s="8" t="s">
        <v>96</v>
      </c>
      <c r="F9" s="2"/>
      <c r="G9" s="2"/>
      <c r="H9" s="2"/>
    </row>
    <row r="10" customFormat="false" ht="15" hidden="false" customHeight="true" outlineLevel="0" collapsed="false">
      <c r="A10" s="2"/>
      <c r="B10" s="9" t="s">
        <v>97</v>
      </c>
      <c r="C10" s="13" t="n">
        <v>60</v>
      </c>
      <c r="D10" s="8" t="s">
        <v>95</v>
      </c>
      <c r="E10" s="8" t="s">
        <v>96</v>
      </c>
      <c r="F10" s="2"/>
      <c r="G10" s="2"/>
      <c r="H10" s="2"/>
    </row>
    <row r="11" customFormat="false" ht="15" hidden="false" customHeight="true" outlineLevel="0" collapsed="false">
      <c r="A11" s="2"/>
      <c r="B11" s="9" t="s">
        <v>98</v>
      </c>
      <c r="C11" s="13" t="n">
        <v>40</v>
      </c>
      <c r="D11" s="8" t="s">
        <v>95</v>
      </c>
      <c r="E11" s="8" t="s">
        <v>96</v>
      </c>
      <c r="F11" s="2"/>
      <c r="G11" s="2"/>
      <c r="H11" s="2"/>
    </row>
    <row r="12" customFormat="false" ht="15" hidden="false" customHeight="true" outlineLevel="0" collapsed="false">
      <c r="A12" s="2"/>
      <c r="B12" s="9" t="s">
        <v>99</v>
      </c>
      <c r="C12" s="13" t="n">
        <v>26</v>
      </c>
      <c r="D12" s="8" t="s">
        <v>95</v>
      </c>
      <c r="E12" s="8" t="s">
        <v>96</v>
      </c>
      <c r="F12" s="2"/>
      <c r="G12" s="2"/>
      <c r="H12" s="2"/>
    </row>
    <row r="13" customFormat="false" ht="21.75" hidden="false" customHeight="true" outlineLevel="0" collapsed="false">
      <c r="A13" s="2"/>
      <c r="B13" s="9" t="s">
        <v>100</v>
      </c>
      <c r="C13" s="13" t="n">
        <v>67</v>
      </c>
      <c r="D13" s="8" t="s">
        <v>53</v>
      </c>
      <c r="E13" s="8" t="s">
        <v>96</v>
      </c>
      <c r="F13" s="2"/>
      <c r="G13" s="2"/>
      <c r="H13" s="2"/>
    </row>
    <row r="14" customFormat="false" ht="15" hidden="false" customHeight="true" outlineLevel="0" collapsed="false">
      <c r="A14" s="2"/>
      <c r="B14" s="9" t="s">
        <v>101</v>
      </c>
      <c r="C14" s="13" t="n">
        <v>25</v>
      </c>
      <c r="D14" s="8" t="s">
        <v>53</v>
      </c>
      <c r="E14" s="8" t="s">
        <v>102</v>
      </c>
      <c r="F14" s="2"/>
      <c r="G14" s="2"/>
      <c r="H14" s="2"/>
    </row>
    <row r="15" customFormat="false" ht="21.75" hidden="false" customHeight="true" outlineLevel="0" collapsed="false">
      <c r="A15" s="2"/>
      <c r="B15" s="9" t="s">
        <v>103</v>
      </c>
      <c r="C15" s="13" t="n">
        <v>7</v>
      </c>
      <c r="D15" s="8" t="s">
        <v>71</v>
      </c>
      <c r="E15" s="8" t="s">
        <v>104</v>
      </c>
      <c r="F15" s="2"/>
      <c r="G15" s="2"/>
      <c r="H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4" t="s">
        <v>56</v>
      </c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7" t="s">
        <v>31</v>
      </c>
      <c r="C19" s="7" t="s">
        <v>57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105</v>
      </c>
      <c r="C20" s="12" t="s">
        <v>106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107</v>
      </c>
      <c r="C21" s="12" t="s">
        <v>62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86</v>
      </c>
      <c r="C22" s="12" t="s">
        <v>87</v>
      </c>
      <c r="D22" s="2"/>
      <c r="E22" s="2"/>
      <c r="F22" s="2"/>
      <c r="G22" s="2"/>
      <c r="H22" s="2"/>
    </row>
  </sheetData>
  <mergeCells count="1">
    <mergeCell ref="C3:H4"/>
  </mergeCells>
  <hyperlinks>
    <hyperlink ref="C20" r:id="rId1" display="https://www.imf.org/en/blogs/articles/2024/01/14/ai-will-transform-the-global-economy-lets-make-sure-it-benefits-humanity"/>
    <hyperlink ref="C21" r:id="rId2" display="https://www.goldmansachs.com/insights/articles/generative-ai-could-raise-global-gdp-by-7-percent"/>
    <hyperlink ref="C22" r:id="rId3" display="https://www.nber.org/papers/w329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tableParts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9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108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109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110</v>
      </c>
      <c r="C8" s="7" t="s">
        <v>111</v>
      </c>
      <c r="D8" s="7" t="s">
        <v>112</v>
      </c>
      <c r="E8" s="7" t="s">
        <v>34</v>
      </c>
      <c r="F8" s="7" t="s">
        <v>113</v>
      </c>
      <c r="G8" s="7" t="s">
        <v>36</v>
      </c>
      <c r="H8" s="2"/>
    </row>
    <row r="9" customFormat="false" ht="15" hidden="false" customHeight="true" outlineLevel="0" collapsed="false">
      <c r="A9" s="2"/>
      <c r="B9" s="8" t="s">
        <v>114</v>
      </c>
      <c r="C9" s="9" t="s">
        <v>115</v>
      </c>
      <c r="D9" s="13" t="n">
        <v>13.8</v>
      </c>
      <c r="E9" s="8" t="s">
        <v>116</v>
      </c>
      <c r="F9" s="8" t="s">
        <v>117</v>
      </c>
      <c r="G9" s="9" t="s">
        <v>118</v>
      </c>
      <c r="H9" s="2"/>
    </row>
    <row r="10" customFormat="false" ht="21.75" hidden="false" customHeight="true" outlineLevel="0" collapsed="false">
      <c r="A10" s="2"/>
      <c r="B10" s="8" t="s">
        <v>119</v>
      </c>
      <c r="C10" s="9" t="s">
        <v>120</v>
      </c>
      <c r="D10" s="13" t="n">
        <v>25.1</v>
      </c>
      <c r="E10" s="8" t="s">
        <v>121</v>
      </c>
      <c r="F10" s="8" t="s">
        <v>117</v>
      </c>
      <c r="G10" s="9" t="s">
        <v>122</v>
      </c>
      <c r="H10" s="2"/>
    </row>
    <row r="11" customFormat="false" ht="15" hidden="false" customHeight="true" outlineLevel="0" collapsed="false">
      <c r="A11" s="2"/>
      <c r="B11" s="8" t="s">
        <v>123</v>
      </c>
      <c r="C11" s="8" t="s">
        <v>124</v>
      </c>
      <c r="D11" s="13" t="n">
        <v>40</v>
      </c>
      <c r="E11" s="8" t="s">
        <v>125</v>
      </c>
      <c r="F11" s="8" t="s">
        <v>117</v>
      </c>
      <c r="G11" s="8" t="s">
        <v>126</v>
      </c>
      <c r="H11" s="2"/>
    </row>
    <row r="12" customFormat="false" ht="15" hidden="false" customHeight="true" outlineLevel="0" collapsed="false">
      <c r="A12" s="2"/>
      <c r="B12" s="8" t="s">
        <v>127</v>
      </c>
      <c r="C12" s="8" t="s">
        <v>128</v>
      </c>
      <c r="D12" s="13" t="n">
        <v>55.8</v>
      </c>
      <c r="E12" s="8" t="s">
        <v>129</v>
      </c>
      <c r="F12" s="8" t="s">
        <v>130</v>
      </c>
      <c r="G12" s="9" t="s">
        <v>131</v>
      </c>
      <c r="H12" s="2"/>
    </row>
    <row r="13" customFormat="false" ht="15" hidden="false" customHeight="true" outlineLevel="0" collapsed="false">
      <c r="A13" s="2"/>
      <c r="B13" s="8" t="s">
        <v>132</v>
      </c>
      <c r="C13" s="9" t="s">
        <v>133</v>
      </c>
      <c r="D13" s="13" t="n">
        <v>22</v>
      </c>
      <c r="E13" s="8" t="s">
        <v>134</v>
      </c>
      <c r="F13" s="8" t="s">
        <v>135</v>
      </c>
      <c r="G13" s="9" t="s">
        <v>136</v>
      </c>
      <c r="H13" s="2"/>
    </row>
    <row r="14" customFormat="false" ht="15" hidden="false" customHeight="true" outlineLevel="0" collapsed="false">
      <c r="A14" s="2"/>
      <c r="B14" s="8" t="s">
        <v>137</v>
      </c>
      <c r="C14" s="9" t="s">
        <v>138</v>
      </c>
      <c r="D14" s="13" t="n">
        <v>31</v>
      </c>
      <c r="E14" s="8" t="s">
        <v>139</v>
      </c>
      <c r="F14" s="8" t="s">
        <v>117</v>
      </c>
      <c r="G14" s="8" t="s">
        <v>140</v>
      </c>
      <c r="H14" s="2"/>
    </row>
    <row r="15" customFormat="false" ht="15" hidden="false" customHeight="true" outlineLevel="0" collapsed="false">
      <c r="A15" s="2"/>
      <c r="B15" s="8" t="s">
        <v>141</v>
      </c>
      <c r="C15" s="8" t="s">
        <v>142</v>
      </c>
      <c r="D15" s="13" t="n">
        <v>5.4</v>
      </c>
      <c r="E15" s="8" t="s">
        <v>143</v>
      </c>
      <c r="F15" s="8" t="s">
        <v>144</v>
      </c>
      <c r="G15" s="8" t="s">
        <v>145</v>
      </c>
      <c r="H15" s="2"/>
    </row>
    <row r="16" customFormat="false" ht="15" hidden="false" customHeight="true" outlineLevel="0" collapsed="false">
      <c r="A16" s="2"/>
      <c r="B16" s="8" t="s">
        <v>146</v>
      </c>
      <c r="C16" s="8" t="s">
        <v>147</v>
      </c>
      <c r="D16" s="13" t="n">
        <v>-19</v>
      </c>
      <c r="E16" s="8" t="s">
        <v>148</v>
      </c>
      <c r="F16" s="8" t="s">
        <v>149</v>
      </c>
      <c r="G16" s="9" t="s">
        <v>150</v>
      </c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4" t="s">
        <v>56</v>
      </c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7" t="s">
        <v>31</v>
      </c>
      <c r="C20" s="7" t="s">
        <v>57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151</v>
      </c>
      <c r="C21" s="12" t="s">
        <v>152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153</v>
      </c>
      <c r="C22" s="12" t="s">
        <v>154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8" t="s">
        <v>155</v>
      </c>
      <c r="C23" s="12" t="s">
        <v>156</v>
      </c>
      <c r="D23" s="2"/>
      <c r="E23" s="2"/>
      <c r="F23" s="2"/>
      <c r="G23" s="2"/>
      <c r="H23" s="2"/>
    </row>
    <row r="24" customFormat="false" ht="15" hidden="false" customHeight="true" outlineLevel="0" collapsed="false">
      <c r="A24" s="2"/>
      <c r="B24" s="9" t="s">
        <v>157</v>
      </c>
      <c r="C24" s="12" t="s">
        <v>158</v>
      </c>
      <c r="D24" s="2"/>
      <c r="E24" s="2"/>
      <c r="F24" s="2"/>
      <c r="G24" s="2"/>
      <c r="H24" s="2"/>
    </row>
    <row r="25" customFormat="false" ht="15" hidden="false" customHeight="true" outlineLevel="0" collapsed="false">
      <c r="A25" s="2"/>
      <c r="B25" s="8" t="s">
        <v>159</v>
      </c>
      <c r="C25" s="12" t="s">
        <v>160</v>
      </c>
      <c r="D25" s="2"/>
      <c r="E25" s="2"/>
      <c r="F25" s="2"/>
      <c r="G25" s="2"/>
      <c r="H25" s="2"/>
    </row>
  </sheetData>
  <mergeCells count="1">
    <mergeCell ref="C3:H4"/>
  </mergeCells>
  <hyperlinks>
    <hyperlink ref="C21" r:id="rId1" display="https://www.nber.org/papers/w31161"/>
    <hyperlink ref="C22" r:id="rId2" display="https://www.hbs.edu/faculty/Pages/item.aspx?num=64700"/>
    <hyperlink ref="C23" r:id="rId3" display="https://cepr.org/voxeu/columns/productivity-effects-generative-artificial-intelligence"/>
    <hyperlink ref="C24" r:id="rId4" display="https://arxiv.org/abs/2302.06590"/>
    <hyperlink ref="C25" r:id="rId5" display="https://metr.org/blog/2025-07-10-early-2025-ai-experienced-os-dev-stud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  <tableParts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161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162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163</v>
      </c>
      <c r="C8" s="7" t="s">
        <v>164</v>
      </c>
      <c r="D8" s="7" t="s">
        <v>165</v>
      </c>
      <c r="E8" s="7" t="s">
        <v>166</v>
      </c>
      <c r="F8" s="7" t="s">
        <v>113</v>
      </c>
      <c r="G8" s="7" t="s">
        <v>167</v>
      </c>
      <c r="H8" s="2"/>
    </row>
    <row r="9" customFormat="false" ht="21.75" hidden="false" customHeight="true" outlineLevel="0" collapsed="false">
      <c r="A9" s="2"/>
      <c r="B9" s="9" t="s">
        <v>168</v>
      </c>
      <c r="C9" s="13" t="n">
        <v>20</v>
      </c>
      <c r="D9" s="13" t="n">
        <v>40</v>
      </c>
      <c r="E9" s="13" t="n">
        <v>65</v>
      </c>
      <c r="F9" s="8" t="s">
        <v>135</v>
      </c>
      <c r="G9" s="9" t="s">
        <v>169</v>
      </c>
      <c r="H9" s="2"/>
    </row>
    <row r="10" customFormat="false" ht="21.75" hidden="false" customHeight="true" outlineLevel="0" collapsed="false">
      <c r="A10" s="2"/>
      <c r="B10" s="9" t="s">
        <v>170</v>
      </c>
      <c r="C10" s="13" t="n">
        <v>15</v>
      </c>
      <c r="D10" s="13" t="n">
        <v>25</v>
      </c>
      <c r="E10" s="13" t="n">
        <v>40</v>
      </c>
      <c r="F10" s="8" t="s">
        <v>135</v>
      </c>
      <c r="G10" s="9" t="s">
        <v>171</v>
      </c>
      <c r="H10" s="2"/>
    </row>
    <row r="11" customFormat="false" ht="15" hidden="false" customHeight="true" outlineLevel="0" collapsed="false">
      <c r="A11" s="2"/>
      <c r="B11" s="9" t="s">
        <v>172</v>
      </c>
      <c r="C11" s="13" t="n">
        <v>15</v>
      </c>
      <c r="D11" s="13" t="n">
        <v>35</v>
      </c>
      <c r="E11" s="13" t="n">
        <v>46</v>
      </c>
      <c r="F11" s="8" t="s">
        <v>117</v>
      </c>
      <c r="G11" s="8" t="s">
        <v>173</v>
      </c>
      <c r="H11" s="2"/>
    </row>
    <row r="12" customFormat="false" ht="15" hidden="false" customHeight="true" outlineLevel="0" collapsed="false">
      <c r="A12" s="2"/>
      <c r="B12" s="9" t="s">
        <v>174</v>
      </c>
      <c r="C12" s="13" t="n">
        <v>0</v>
      </c>
      <c r="D12" s="13" t="n">
        <v>0</v>
      </c>
      <c r="E12" s="13" t="n">
        <v>5</v>
      </c>
      <c r="F12" s="8" t="s">
        <v>135</v>
      </c>
      <c r="G12" s="8" t="s">
        <v>175</v>
      </c>
      <c r="H12" s="2"/>
    </row>
    <row r="13" customFormat="false" ht="15" hidden="false" customHeight="true" outlineLevel="0" collapsed="false">
      <c r="A13" s="2"/>
      <c r="B13" s="9" t="s">
        <v>176</v>
      </c>
      <c r="C13" s="13" t="n">
        <v>10</v>
      </c>
      <c r="D13" s="13" t="n">
        <v>22</v>
      </c>
      <c r="E13" s="13" t="n">
        <v>56</v>
      </c>
      <c r="F13" s="8" t="s">
        <v>177</v>
      </c>
      <c r="G13" s="9" t="s">
        <v>178</v>
      </c>
      <c r="H13" s="2"/>
    </row>
    <row r="14" customFormat="false" ht="21.75" hidden="false" customHeight="true" outlineLevel="0" collapsed="false">
      <c r="A14" s="2"/>
      <c r="B14" s="9" t="s">
        <v>179</v>
      </c>
      <c r="C14" s="13" t="n">
        <v>-19</v>
      </c>
      <c r="D14" s="13" t="n">
        <v>0</v>
      </c>
      <c r="E14" s="13" t="n">
        <v>10</v>
      </c>
      <c r="F14" s="8" t="s">
        <v>149</v>
      </c>
      <c r="G14" s="8" t="s">
        <v>180</v>
      </c>
      <c r="H14" s="2"/>
    </row>
    <row r="15" customFormat="false" ht="21.75" hidden="false" customHeight="true" outlineLevel="0" collapsed="false">
      <c r="A15" s="2"/>
      <c r="B15" s="9" t="s">
        <v>181</v>
      </c>
      <c r="C15" s="13" t="n">
        <v>0</v>
      </c>
      <c r="D15" s="13" t="n">
        <v>8</v>
      </c>
      <c r="E15" s="13" t="n">
        <v>16</v>
      </c>
      <c r="F15" s="8" t="s">
        <v>135</v>
      </c>
      <c r="G15" s="9" t="s">
        <v>182</v>
      </c>
      <c r="H15" s="2"/>
    </row>
    <row r="16" customFormat="false" ht="15" hidden="false" customHeight="true" outlineLevel="0" collapsed="false">
      <c r="A16" s="2"/>
      <c r="B16" s="8" t="s">
        <v>183</v>
      </c>
      <c r="C16" s="13" t="n">
        <v>10</v>
      </c>
      <c r="D16" s="13" t="n">
        <v>31</v>
      </c>
      <c r="E16" s="13" t="n">
        <v>40</v>
      </c>
      <c r="F16" s="8" t="s">
        <v>135</v>
      </c>
      <c r="G16" s="8" t="s">
        <v>184</v>
      </c>
      <c r="H16" s="2"/>
    </row>
    <row r="17" customFormat="false" ht="15" hidden="false" customHeight="true" outlineLevel="0" collapsed="false">
      <c r="A17" s="2"/>
      <c r="B17" s="9" t="s">
        <v>185</v>
      </c>
      <c r="C17" s="13" t="n">
        <v>50</v>
      </c>
      <c r="D17" s="13" t="n">
        <v>200</v>
      </c>
      <c r="E17" s="13" t="n">
        <v>300</v>
      </c>
      <c r="F17" s="8" t="s">
        <v>144</v>
      </c>
      <c r="G17" s="9" t="s">
        <v>186</v>
      </c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4" t="s">
        <v>56</v>
      </c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7" t="s">
        <v>31</v>
      </c>
      <c r="C21" s="7" t="s">
        <v>57</v>
      </c>
      <c r="D21" s="2"/>
      <c r="E21" s="2"/>
      <c r="F21" s="2"/>
      <c r="G21" s="2"/>
      <c r="H21" s="2"/>
    </row>
    <row r="22" customFormat="false" ht="21.75" hidden="false" customHeight="true" outlineLevel="0" collapsed="false">
      <c r="A22" s="2"/>
      <c r="B22" s="9" t="s">
        <v>187</v>
      </c>
      <c r="C22" s="9" t="s">
        <v>188</v>
      </c>
      <c r="D22" s="2"/>
      <c r="E22" s="2"/>
      <c r="F22" s="2"/>
      <c r="G22" s="2"/>
      <c r="H22" s="2"/>
    </row>
  </sheetData>
  <mergeCells count="1">
    <mergeCell ref="C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6" min="6" style="1" width="23"/>
    <col collapsed="false" customWidth="true" hidden="false" outlineLevel="0" max="7" min="7" style="1" width="21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189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190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25" hidden="false" customHeight="true" outlineLevel="0" collapsed="false">
      <c r="A8" s="2"/>
      <c r="B8" s="7" t="s">
        <v>110</v>
      </c>
      <c r="C8" s="7" t="s">
        <v>191</v>
      </c>
      <c r="D8" s="7" t="s">
        <v>192</v>
      </c>
      <c r="E8" s="7" t="s">
        <v>193</v>
      </c>
      <c r="F8" s="7" t="s">
        <v>194</v>
      </c>
      <c r="G8" s="7" t="s">
        <v>31</v>
      </c>
      <c r="H8" s="2"/>
    </row>
    <row r="9" customFormat="false" ht="15" hidden="false" customHeight="true" outlineLevel="0" collapsed="false">
      <c r="A9" s="2"/>
      <c r="B9" s="8" t="s">
        <v>114</v>
      </c>
      <c r="C9" s="8" t="s">
        <v>195</v>
      </c>
      <c r="D9" s="8" t="n">
        <v>34</v>
      </c>
      <c r="E9" s="9" t="s">
        <v>196</v>
      </c>
      <c r="F9" s="8" t="n">
        <v>0</v>
      </c>
      <c r="G9" s="8" t="s">
        <v>197</v>
      </c>
      <c r="H9" s="2"/>
    </row>
    <row r="10" customFormat="false" ht="15" hidden="false" customHeight="true" outlineLevel="0" collapsed="false">
      <c r="A10" s="2"/>
      <c r="B10" s="9" t="s">
        <v>198</v>
      </c>
      <c r="C10" s="8" t="s">
        <v>199</v>
      </c>
      <c r="D10" s="8" t="n">
        <v>46</v>
      </c>
      <c r="E10" s="8" t="s">
        <v>200</v>
      </c>
      <c r="F10" s="8" t="n">
        <v>0</v>
      </c>
      <c r="G10" s="8" t="s">
        <v>197</v>
      </c>
      <c r="H10" s="2"/>
    </row>
    <row r="11" customFormat="false" ht="15" hidden="false" customHeight="true" outlineLevel="0" collapsed="false">
      <c r="A11" s="2"/>
      <c r="B11" s="8" t="s">
        <v>119</v>
      </c>
      <c r="C11" s="9" t="s">
        <v>201</v>
      </c>
      <c r="D11" s="8" t="n">
        <v>43</v>
      </c>
      <c r="E11" s="9" t="s">
        <v>202</v>
      </c>
      <c r="F11" s="8" t="n">
        <v>17</v>
      </c>
      <c r="G11" s="8" t="s">
        <v>203</v>
      </c>
      <c r="H11" s="2"/>
    </row>
    <row r="12" customFormat="false" ht="15" hidden="false" customHeight="true" outlineLevel="0" collapsed="false">
      <c r="A12" s="2"/>
      <c r="B12" s="8" t="s">
        <v>123</v>
      </c>
      <c r="C12" s="8" t="s">
        <v>204</v>
      </c>
      <c r="D12" s="8" t="s">
        <v>205</v>
      </c>
      <c r="E12" s="8" t="s">
        <v>206</v>
      </c>
      <c r="F12" s="8" t="s">
        <v>207</v>
      </c>
      <c r="G12" s="8" t="s">
        <v>155</v>
      </c>
      <c r="H12" s="2"/>
    </row>
    <row r="13" customFormat="false" ht="15" hidden="false" customHeight="true" outlineLevel="0" collapsed="false">
      <c r="A13" s="2"/>
      <c r="B13" s="8" t="s">
        <v>208</v>
      </c>
      <c r="C13" s="8" t="s">
        <v>209</v>
      </c>
      <c r="D13" s="8" t="s">
        <v>210</v>
      </c>
      <c r="E13" s="8" t="s">
        <v>211</v>
      </c>
      <c r="F13" s="8" t="s">
        <v>212</v>
      </c>
      <c r="G13" s="8" t="s">
        <v>213</v>
      </c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56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31</v>
      </c>
      <c r="C17" s="7" t="s">
        <v>57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151</v>
      </c>
      <c r="C18" s="12" t="s">
        <v>152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8" t="s">
        <v>153</v>
      </c>
      <c r="C19" s="12" t="s">
        <v>154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155</v>
      </c>
      <c r="C20" s="12" t="s">
        <v>156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214</v>
      </c>
      <c r="C21" s="12" t="s">
        <v>215</v>
      </c>
      <c r="D21" s="2"/>
      <c r="E21" s="2"/>
      <c r="F21" s="2"/>
      <c r="G21" s="2"/>
      <c r="H21" s="2"/>
    </row>
  </sheetData>
  <mergeCells count="1">
    <mergeCell ref="C3:H4"/>
  </mergeCells>
  <hyperlinks>
    <hyperlink ref="C18" r:id="rId1" display="https://www.nber.org/papers/w31161"/>
    <hyperlink ref="C19" r:id="rId2" display="https://www.hbs.edu/faculty/Pages/item.aspx?num=64700"/>
    <hyperlink ref="C20" r:id="rId3" display="https://cepr.org/voxeu/columns/productivity-effects-generative-artificial-intelligence"/>
    <hyperlink ref="C21" r:id="rId4" display="https://www.library.hbs.edu/working-knowledge/gen-ai-boosts-productivity-but-cant-turn-novices-into-exper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  <tableParts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5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216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217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218</v>
      </c>
      <c r="C8" s="7" t="s">
        <v>219</v>
      </c>
      <c r="D8" s="7" t="s">
        <v>220</v>
      </c>
      <c r="E8" s="7" t="s">
        <v>221</v>
      </c>
      <c r="F8" s="2"/>
      <c r="G8" s="2"/>
      <c r="H8" s="2"/>
    </row>
    <row r="9" customFormat="false" ht="15" hidden="false" customHeight="true" outlineLevel="0" collapsed="false">
      <c r="A9" s="2"/>
      <c r="B9" s="8" t="s">
        <v>222</v>
      </c>
      <c r="C9" s="9" t="s">
        <v>223</v>
      </c>
      <c r="D9" s="9" t="s">
        <v>224</v>
      </c>
      <c r="E9" s="8" t="s">
        <v>225</v>
      </c>
      <c r="F9" s="2"/>
      <c r="G9" s="2"/>
      <c r="H9" s="2"/>
    </row>
    <row r="10" customFormat="false" ht="15" hidden="false" customHeight="true" outlineLevel="0" collapsed="false">
      <c r="A10" s="2"/>
      <c r="B10" s="8" t="s">
        <v>226</v>
      </c>
      <c r="C10" s="9" t="s">
        <v>227</v>
      </c>
      <c r="D10" s="9" t="s">
        <v>228</v>
      </c>
      <c r="E10" s="9" t="s">
        <v>229</v>
      </c>
      <c r="F10" s="2"/>
      <c r="G10" s="2"/>
      <c r="H10" s="2"/>
    </row>
    <row r="11" customFormat="false" ht="15" hidden="false" customHeight="true" outlineLevel="0" collapsed="false">
      <c r="A11" s="2"/>
      <c r="B11" s="8" t="s">
        <v>230</v>
      </c>
      <c r="C11" s="9" t="s">
        <v>231</v>
      </c>
      <c r="D11" s="9" t="s">
        <v>232</v>
      </c>
      <c r="E11" s="9" t="s">
        <v>233</v>
      </c>
      <c r="F11" s="2"/>
      <c r="G11" s="2"/>
      <c r="H11" s="2"/>
    </row>
    <row r="12" customFormat="false" ht="15" hidden="false" customHeight="true" outlineLevel="0" collapsed="false">
      <c r="A12" s="2"/>
      <c r="B12" s="8" t="s">
        <v>234</v>
      </c>
      <c r="C12" s="9" t="s">
        <v>235</v>
      </c>
      <c r="D12" s="9" t="s">
        <v>236</v>
      </c>
      <c r="E12" s="9" t="s">
        <v>237</v>
      </c>
      <c r="F12" s="2"/>
      <c r="G12" s="2"/>
      <c r="H12" s="2"/>
    </row>
    <row r="13" customFormat="false" ht="15" hidden="false" customHeight="true" outlineLevel="0" collapsed="false">
      <c r="A13" s="2"/>
      <c r="B13" s="8" t="s">
        <v>238</v>
      </c>
      <c r="C13" s="9" t="s">
        <v>239</v>
      </c>
      <c r="D13" s="9" t="s">
        <v>240</v>
      </c>
      <c r="E13" s="9" t="s">
        <v>241</v>
      </c>
      <c r="F13" s="2"/>
      <c r="G13" s="2"/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56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31</v>
      </c>
      <c r="C17" s="7" t="s">
        <v>57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242</v>
      </c>
      <c r="C18" s="12" t="s">
        <v>243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244</v>
      </c>
      <c r="C19" s="12" t="s">
        <v>245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246</v>
      </c>
      <c r="C20" s="12" t="s">
        <v>247</v>
      </c>
      <c r="D20" s="2"/>
      <c r="E20" s="2"/>
      <c r="F20" s="2"/>
      <c r="G20" s="2"/>
      <c r="H20" s="2"/>
    </row>
  </sheetData>
  <mergeCells count="1">
    <mergeCell ref="C3:H4"/>
  </mergeCells>
  <hyperlinks>
    <hyperlink ref="C18" r:id="rId1" display="https://www.bcg.com/publications/2025/rethinking-b2b-software-pricing-in-the-era-of-ai"/>
    <hyperlink ref="C19" r:id="rId2" display="https://www.bain.com/insights/per-seat-software-pricing-isnt-dead-but-new-models-are-gaining-steam/"/>
    <hyperlink ref="C20" r:id="rId3" display="https://a16z.com/newsletter/december-2024-enterprise-newsletter-ai-is-driving-a-shift-towards-outcome-based-pric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"/>
    <col collapsed="false" customWidth="true" hidden="false" outlineLevel="0" max="7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248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249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250</v>
      </c>
      <c r="C8" s="7" t="s">
        <v>251</v>
      </c>
      <c r="D8" s="7" t="s">
        <v>252</v>
      </c>
      <c r="E8" s="7" t="s">
        <v>253</v>
      </c>
      <c r="F8" s="7" t="s">
        <v>254</v>
      </c>
      <c r="G8" s="7" t="s">
        <v>255</v>
      </c>
      <c r="H8" s="2"/>
    </row>
    <row r="9" customFormat="false" ht="21.75" hidden="false" customHeight="true" outlineLevel="0" collapsed="false">
      <c r="A9" s="2"/>
      <c r="B9" s="8" t="s">
        <v>256</v>
      </c>
      <c r="C9" s="8" t="s">
        <v>257</v>
      </c>
      <c r="D9" s="8" t="s">
        <v>258</v>
      </c>
      <c r="E9" s="9" t="s">
        <v>259</v>
      </c>
      <c r="F9" s="9" t="s">
        <v>260</v>
      </c>
      <c r="G9" s="9" t="s">
        <v>261</v>
      </c>
      <c r="H9" s="2"/>
    </row>
    <row r="10" customFormat="false" ht="21.75" hidden="false" customHeight="true" outlineLevel="0" collapsed="false">
      <c r="A10" s="2"/>
      <c r="B10" s="9" t="s">
        <v>262</v>
      </c>
      <c r="C10" s="8" t="s">
        <v>263</v>
      </c>
      <c r="D10" s="9" t="s">
        <v>264</v>
      </c>
      <c r="E10" s="9" t="s">
        <v>265</v>
      </c>
      <c r="F10" s="9" t="s">
        <v>266</v>
      </c>
      <c r="G10" s="9" t="s">
        <v>267</v>
      </c>
      <c r="H10" s="2"/>
    </row>
    <row r="11" customFormat="false" ht="15" hidden="false" customHeight="true" outlineLevel="0" collapsed="false">
      <c r="A11" s="2"/>
      <c r="B11" s="9" t="s">
        <v>268</v>
      </c>
      <c r="C11" s="8" t="s">
        <v>269</v>
      </c>
      <c r="D11" s="9" t="s">
        <v>270</v>
      </c>
      <c r="E11" s="8" t="s">
        <v>271</v>
      </c>
      <c r="F11" s="9" t="s">
        <v>272</v>
      </c>
      <c r="G11" s="9" t="s">
        <v>273</v>
      </c>
      <c r="H11" s="2"/>
    </row>
    <row r="12" customFormat="false" ht="21.75" hidden="false" customHeight="true" outlineLevel="0" collapsed="false">
      <c r="A12" s="2"/>
      <c r="B12" s="8" t="s">
        <v>274</v>
      </c>
      <c r="C12" s="8" t="s">
        <v>275</v>
      </c>
      <c r="D12" s="9" t="s">
        <v>276</v>
      </c>
      <c r="E12" s="9" t="s">
        <v>277</v>
      </c>
      <c r="F12" s="9" t="s">
        <v>278</v>
      </c>
      <c r="G12" s="9" t="s">
        <v>279</v>
      </c>
      <c r="H12" s="2"/>
    </row>
    <row r="13" customFormat="false" ht="21.75" hidden="false" customHeight="true" outlineLevel="0" collapsed="false">
      <c r="A13" s="2"/>
      <c r="B13" s="8" t="s">
        <v>280</v>
      </c>
      <c r="C13" s="8" t="s">
        <v>281</v>
      </c>
      <c r="D13" s="9" t="s">
        <v>282</v>
      </c>
      <c r="E13" s="8" t="s">
        <v>283</v>
      </c>
      <c r="F13" s="9" t="s">
        <v>284</v>
      </c>
      <c r="G13" s="9" t="s">
        <v>285</v>
      </c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56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31</v>
      </c>
      <c r="C17" s="7" t="s">
        <v>57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8" t="s">
        <v>286</v>
      </c>
      <c r="C18" s="12" t="s">
        <v>287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288</v>
      </c>
      <c r="C19" s="12" t="s">
        <v>289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290</v>
      </c>
      <c r="C20" s="12" t="s">
        <v>291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292</v>
      </c>
      <c r="C21" s="12" t="s">
        <v>293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294</v>
      </c>
      <c r="C22" s="12" t="s">
        <v>295</v>
      </c>
      <c r="D22" s="2"/>
      <c r="E22" s="2"/>
      <c r="F22" s="2"/>
      <c r="G22" s="2"/>
      <c r="H22" s="2"/>
    </row>
  </sheetData>
  <mergeCells count="1">
    <mergeCell ref="C3:H4"/>
  </mergeCells>
  <hyperlinks>
    <hyperlink ref="C18" r:id="rId1" display="https://www.intercom.com/pricing"/>
    <hyperlink ref="C19" r:id="rId2" display="https://www.salesforce.com/agentforce/pricing/"/>
    <hyperlink ref="C20" r:id="rId3" display="https://www.microsoft.com/en-us/microsoft-365/blog/2024/10/17/microsoft-365-copilot-drove-up-to-353-roi-for-small-and-medium-businesses-new-study/"/>
    <hyperlink ref="C21" r:id="rId4" display="https://docs.github.com/en/copilot/get-started/plans"/>
    <hyperlink ref="C22" r:id="rId5" display="https://developers.openai.com/api/docs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9"/>
    <col collapsed="false" customWidth="true" hidden="false" outlineLevel="0" max="3" min="3" style="1" width="17"/>
    <col collapsed="false" customWidth="true" hidden="false" outlineLevel="0" max="4" min="4" style="1" width="26"/>
    <col collapsed="false" customWidth="true" hidden="false" outlineLevel="0" max="5" min="5" style="1" width="25"/>
    <col collapsed="false" customWidth="true" hidden="false" outlineLevel="0" max="6" min="6" style="1" width="23"/>
    <col collapsed="false" customWidth="true" hidden="false" outlineLevel="0" max="7" min="7" style="1" width="24"/>
    <col collapsed="false" customWidth="true" hidden="false" outlineLevel="0" max="8" min="8" style="1" width="19"/>
    <col collapsed="false" customWidth="true" hidden="false" outlineLevel="0" max="9" min="9" style="1" width="21"/>
    <col collapsed="false" customWidth="true" hidden="false" outlineLevel="0" max="10" min="10" style="1" width="30"/>
    <col collapsed="false" customWidth="true" hidden="false" outlineLevel="0" max="11" min="11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2"/>
      <c r="B2" s="3" t="s">
        <v>296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4" t="s">
        <v>1</v>
      </c>
      <c r="C3" s="5" t="s">
        <v>297</v>
      </c>
      <c r="D3" s="5"/>
      <c r="E3" s="5"/>
      <c r="F3" s="5"/>
      <c r="G3" s="5"/>
      <c r="H3" s="5"/>
      <c r="I3" s="2"/>
      <c r="J3" s="2"/>
      <c r="K3" s="2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  <c r="I4" s="2"/>
      <c r="J4" s="2"/>
      <c r="K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39" hidden="false" customHeight="true" outlineLevel="0" collapsed="false">
      <c r="A8" s="2"/>
      <c r="B8" s="7" t="s">
        <v>298</v>
      </c>
      <c r="C8" s="7" t="s">
        <v>299</v>
      </c>
      <c r="D8" s="7" t="s">
        <v>300</v>
      </c>
      <c r="E8" s="7" t="s">
        <v>301</v>
      </c>
      <c r="F8" s="7" t="s">
        <v>302</v>
      </c>
      <c r="G8" s="7" t="s">
        <v>303</v>
      </c>
      <c r="H8" s="7" t="s">
        <v>304</v>
      </c>
      <c r="I8" s="7" t="s">
        <v>305</v>
      </c>
      <c r="J8" s="7" t="s">
        <v>306</v>
      </c>
      <c r="K8" s="7" t="s">
        <v>167</v>
      </c>
    </row>
    <row r="9" customFormat="false" ht="21.75" hidden="false" customHeight="true" outlineLevel="0" collapsed="false">
      <c r="A9" s="2"/>
      <c r="B9" s="9" t="s">
        <v>307</v>
      </c>
      <c r="C9" s="14" t="n">
        <v>80</v>
      </c>
      <c r="D9" s="15" t="n">
        <v>10</v>
      </c>
      <c r="E9" s="16" t="n">
        <v>0.25</v>
      </c>
      <c r="F9" s="16" t="n">
        <v>0.5</v>
      </c>
      <c r="G9" s="14" t="n">
        <f aca="false">C9*D9*E9</f>
        <v>200</v>
      </c>
      <c r="H9" s="14" t="n">
        <f aca="false">F9*4.33</f>
        <v>2.165</v>
      </c>
      <c r="I9" s="15" t="n">
        <v>10</v>
      </c>
      <c r="J9" s="14" t="n">
        <f aca="false">G9/H9</f>
        <v>92.378752886836</v>
      </c>
      <c r="K9" s="9" t="s">
        <v>308</v>
      </c>
    </row>
    <row r="10" customFormat="false" ht="15" hidden="false" customHeight="true" outlineLevel="0" collapsed="false">
      <c r="A10" s="2"/>
      <c r="B10" s="9" t="s">
        <v>309</v>
      </c>
      <c r="C10" s="14" t="n">
        <v>35</v>
      </c>
      <c r="D10" s="15" t="n">
        <v>30</v>
      </c>
      <c r="E10" s="16" t="n">
        <v>0.35</v>
      </c>
      <c r="F10" s="16" t="n">
        <v>0.7</v>
      </c>
      <c r="G10" s="14" t="n">
        <f aca="false">C10*D10*E10</f>
        <v>367.5</v>
      </c>
      <c r="H10" s="14" t="n">
        <f aca="false">F10*4.33</f>
        <v>3.031</v>
      </c>
      <c r="I10" s="15" t="n">
        <v>10</v>
      </c>
      <c r="J10" s="14" t="n">
        <f aca="false">G10/H10</f>
        <v>121.247113163972</v>
      </c>
      <c r="K10" s="9" t="s">
        <v>310</v>
      </c>
    </row>
    <row r="11" customFormat="false" ht="21.75" hidden="false" customHeight="true" outlineLevel="0" collapsed="false">
      <c r="A11" s="2"/>
      <c r="B11" s="9" t="s">
        <v>311</v>
      </c>
      <c r="C11" s="14" t="n">
        <v>120</v>
      </c>
      <c r="D11" s="15" t="n">
        <v>20</v>
      </c>
      <c r="E11" s="16" t="n">
        <v>0</v>
      </c>
      <c r="F11" s="16" t="n">
        <v>0.3</v>
      </c>
      <c r="G11" s="14" t="n">
        <f aca="false">C11*D11*E11</f>
        <v>0</v>
      </c>
      <c r="H11" s="14" t="n">
        <f aca="false">F11*4.33</f>
        <v>1.299</v>
      </c>
      <c r="I11" s="15" t="n">
        <v>10</v>
      </c>
      <c r="J11" s="14" t="n">
        <f aca="false">G11/H11</f>
        <v>0</v>
      </c>
      <c r="K11" s="9" t="s">
        <v>312</v>
      </c>
    </row>
    <row r="12" customFormat="false" ht="21.75" hidden="false" customHeight="true" outlineLevel="0" collapsed="false">
      <c r="A12" s="2"/>
      <c r="B12" s="9" t="s">
        <v>313</v>
      </c>
      <c r="C12" s="14" t="n">
        <v>70</v>
      </c>
      <c r="D12" s="15" t="n">
        <v>20</v>
      </c>
      <c r="E12" s="16" t="n">
        <v>0.22</v>
      </c>
      <c r="F12" s="16" t="n">
        <v>0.5</v>
      </c>
      <c r="G12" s="14" t="n">
        <f aca="false">C12*D12*E12</f>
        <v>308</v>
      </c>
      <c r="H12" s="14" t="n">
        <f aca="false">F12*4.33</f>
        <v>2.165</v>
      </c>
      <c r="I12" s="15" t="n">
        <v>10</v>
      </c>
      <c r="J12" s="14" t="n">
        <f aca="false">G12/H12</f>
        <v>142.263279445727</v>
      </c>
      <c r="K12" s="9" t="s">
        <v>314</v>
      </c>
    </row>
    <row r="13" customFormat="false" ht="15" hidden="false" customHeight="true" outlineLevel="0" collapsed="false">
      <c r="A13" s="2"/>
      <c r="B13" s="9" t="s">
        <v>185</v>
      </c>
      <c r="C13" s="14" t="n">
        <v>150</v>
      </c>
      <c r="D13" s="15" t="n">
        <v>8</v>
      </c>
      <c r="E13" s="16" t="n">
        <v>0.5</v>
      </c>
      <c r="F13" s="16" t="n">
        <v>0.5</v>
      </c>
      <c r="G13" s="14" t="n">
        <f aca="false">C13*D13*E13</f>
        <v>600</v>
      </c>
      <c r="H13" s="14" t="n">
        <f aca="false">F13*4.33</f>
        <v>2.165</v>
      </c>
      <c r="I13" s="15" t="n">
        <v>10</v>
      </c>
      <c r="J13" s="14" t="n">
        <f aca="false">G13/H13</f>
        <v>277.136258660508</v>
      </c>
      <c r="K13" s="9" t="s">
        <v>315</v>
      </c>
    </row>
    <row r="14" customFormat="false" ht="15" hidden="false" customHeight="true" outlineLevel="0" collapsed="false">
      <c r="A14" s="2"/>
      <c r="B14" s="9" t="s">
        <v>316</v>
      </c>
      <c r="C14" s="14" t="n">
        <v>75</v>
      </c>
      <c r="D14" s="15" t="n">
        <v>12</v>
      </c>
      <c r="E14" s="16" t="n">
        <v>0.3</v>
      </c>
      <c r="F14" s="16" t="n">
        <v>0.5</v>
      </c>
      <c r="G14" s="14" t="n">
        <f aca="false">C14*D14*E14</f>
        <v>270</v>
      </c>
      <c r="H14" s="14" t="n">
        <f aca="false">F14*4.33</f>
        <v>2.165</v>
      </c>
      <c r="I14" s="15" t="n">
        <v>10</v>
      </c>
      <c r="J14" s="14" t="n">
        <f aca="false">G14/H14</f>
        <v>124.711316397229</v>
      </c>
      <c r="K14" s="9" t="s">
        <v>317</v>
      </c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true" outlineLevel="0" collapsed="false">
      <c r="A17" s="2"/>
      <c r="B17" s="4" t="s">
        <v>56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true" outlineLevel="0" collapsed="false">
      <c r="A18" s="2"/>
      <c r="B18" s="7" t="s">
        <v>31</v>
      </c>
      <c r="C18" s="7" t="s">
        <v>57</v>
      </c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true" outlineLevel="0" collapsed="false">
      <c r="A19" s="2"/>
      <c r="B19" s="9" t="s">
        <v>318</v>
      </c>
      <c r="C19" s="8" t="s">
        <v>319</v>
      </c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true" outlineLevel="0" collapsed="false">
      <c r="A20" s="2"/>
      <c r="B20" s="9" t="s">
        <v>320</v>
      </c>
      <c r="C20" s="8" t="s">
        <v>321</v>
      </c>
      <c r="D20" s="2"/>
      <c r="E20" s="2"/>
      <c r="F20" s="2"/>
      <c r="G20" s="2"/>
      <c r="H20" s="2"/>
      <c r="I20" s="2"/>
      <c r="J20" s="2"/>
      <c r="K20" s="2"/>
    </row>
  </sheetData>
  <mergeCells count="1">
    <mergeCell ref="C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"/>
    <col collapsed="false" customWidth="true" hidden="false" outlineLevel="0" max="5" min="3" style="1" width="14"/>
    <col collapsed="false" customWidth="true" hidden="false" outlineLevel="0" max="6" min="6" style="1" width="17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7" hidden="false" customHeight="false" outlineLevel="0" collapsed="false">
      <c r="A2" s="2"/>
      <c r="B2" s="3" t="s">
        <v>322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323</v>
      </c>
      <c r="D3" s="5"/>
      <c r="E3" s="5"/>
      <c r="F3" s="5"/>
      <c r="G3" s="5"/>
      <c r="H3" s="5"/>
    </row>
    <row r="4" customFormat="false" ht="15" hidden="false" customHeight="fals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85" hidden="false" customHeight="false" outlineLevel="0" collapsed="false">
      <c r="A8" s="2"/>
      <c r="B8" s="17" t="s">
        <v>324</v>
      </c>
      <c r="C8" s="17" t="s">
        <v>325</v>
      </c>
      <c r="D8" s="17" t="s">
        <v>326</v>
      </c>
      <c r="E8" s="17" t="s">
        <v>35</v>
      </c>
      <c r="F8" s="17" t="s">
        <v>327</v>
      </c>
      <c r="G8" s="17" t="s">
        <v>328</v>
      </c>
      <c r="H8" s="17" t="s">
        <v>329</v>
      </c>
    </row>
    <row r="9" customFormat="false" ht="43.25" hidden="false" customHeight="false" outlineLevel="0" collapsed="false">
      <c r="A9" s="2"/>
      <c r="B9" s="9" t="s">
        <v>330</v>
      </c>
      <c r="C9" s="13" t="n">
        <v>14</v>
      </c>
      <c r="D9" s="8" t="s">
        <v>331</v>
      </c>
      <c r="E9" s="8" t="s">
        <v>332</v>
      </c>
      <c r="F9" s="9" t="s">
        <v>333</v>
      </c>
      <c r="G9" s="12" t="s">
        <v>334</v>
      </c>
      <c r="H9" s="9" t="s">
        <v>335</v>
      </c>
    </row>
    <row r="10" customFormat="false" ht="53.7" hidden="false" customHeight="false" outlineLevel="0" collapsed="false">
      <c r="A10" s="2"/>
      <c r="B10" s="9" t="s">
        <v>336</v>
      </c>
      <c r="C10" s="13" t="n">
        <v>42</v>
      </c>
      <c r="D10" s="9" t="s">
        <v>337</v>
      </c>
      <c r="E10" s="8" t="s">
        <v>332</v>
      </c>
      <c r="F10" s="9" t="s">
        <v>338</v>
      </c>
      <c r="G10" s="12" t="s">
        <v>339</v>
      </c>
      <c r="H10" s="9" t="s">
        <v>340</v>
      </c>
    </row>
    <row r="11" customFormat="false" ht="32.8" hidden="false" customHeight="false" outlineLevel="0" collapsed="false">
      <c r="A11" s="2"/>
      <c r="B11" s="9" t="s">
        <v>336</v>
      </c>
      <c r="C11" s="13" t="n">
        <v>36</v>
      </c>
      <c r="D11" s="8" t="s">
        <v>341</v>
      </c>
      <c r="E11" s="8" t="s">
        <v>332</v>
      </c>
      <c r="F11" s="9" t="s">
        <v>338</v>
      </c>
      <c r="G11" s="12" t="s">
        <v>339</v>
      </c>
      <c r="H11" s="9" t="s">
        <v>342</v>
      </c>
    </row>
    <row r="12" customFormat="false" ht="43.25" hidden="false" customHeight="false" outlineLevel="0" collapsed="false">
      <c r="A12" s="2"/>
      <c r="B12" s="9" t="s">
        <v>343</v>
      </c>
      <c r="C12" s="13" t="n">
        <v>37</v>
      </c>
      <c r="D12" s="9" t="s">
        <v>344</v>
      </c>
      <c r="E12" s="8" t="s">
        <v>345</v>
      </c>
      <c r="F12" s="9" t="s">
        <v>346</v>
      </c>
      <c r="G12" s="12" t="s">
        <v>347</v>
      </c>
      <c r="H12" s="9" t="s">
        <v>348</v>
      </c>
    </row>
    <row r="13" customFormat="false" ht="53.7" hidden="false" customHeight="false" outlineLevel="0" collapsed="false">
      <c r="A13" s="2"/>
      <c r="B13" s="9" t="s">
        <v>349</v>
      </c>
      <c r="C13" s="13" t="n">
        <v>73</v>
      </c>
      <c r="D13" s="8" t="s">
        <v>350</v>
      </c>
      <c r="E13" s="8" t="s">
        <v>351</v>
      </c>
      <c r="F13" s="9" t="s">
        <v>352</v>
      </c>
      <c r="G13" s="12" t="s">
        <v>353</v>
      </c>
      <c r="H13" s="9" t="s">
        <v>354</v>
      </c>
    </row>
    <row r="14" customFormat="false" ht="32.8" hidden="false" customHeight="false" outlineLevel="0" collapsed="false">
      <c r="A14" s="2"/>
      <c r="B14" s="9" t="s">
        <v>355</v>
      </c>
      <c r="C14" s="13" t="n">
        <v>52</v>
      </c>
      <c r="D14" s="9" t="s">
        <v>356</v>
      </c>
      <c r="E14" s="8" t="s">
        <v>357</v>
      </c>
      <c r="F14" s="8" t="s">
        <v>358</v>
      </c>
      <c r="G14" s="12" t="s">
        <v>359</v>
      </c>
      <c r="H14" s="9" t="s">
        <v>360</v>
      </c>
    </row>
    <row r="15" customFormat="false" ht="43.25" hidden="false" customHeight="false" outlineLevel="0" collapsed="false">
      <c r="A15" s="2"/>
      <c r="B15" s="9" t="s">
        <v>361</v>
      </c>
      <c r="C15" s="13" t="n">
        <v>501.3</v>
      </c>
      <c r="D15" s="8" t="s">
        <v>362</v>
      </c>
      <c r="E15" s="8" t="s">
        <v>332</v>
      </c>
      <c r="F15" s="9" t="s">
        <v>363</v>
      </c>
      <c r="G15" s="12" t="s">
        <v>364</v>
      </c>
      <c r="H15" s="9" t="s">
        <v>365</v>
      </c>
    </row>
  </sheetData>
  <mergeCells count="1">
    <mergeCell ref="C3:H4"/>
  </mergeCells>
  <hyperlinks>
    <hyperlink ref="G9" r:id="rId1" display="https://cashmere.io/v/klMFtxkBx"/>
    <hyperlink ref="G10" r:id="rId2" display="https://cashmere.io/v/B7qHhEH06"/>
    <hyperlink ref="G11" r:id="rId3" display="https://cashmere.io/v/B7qHhEH06"/>
    <hyperlink ref="G12" r:id="rId4" display="https://cashmere.io/v/kGsLIAodH"/>
    <hyperlink ref="G13" r:id="rId5" display="https://cashmere.io/v/GGNrDNXhF"/>
    <hyperlink ref="G14" r:id="rId6" display="https://cashmere.io/v/Z6u4doJKR"/>
    <hyperlink ref="G15" r:id="rId7" display="https://cashmere.io/v/xdtU59G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  <tableParts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366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367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31</v>
      </c>
      <c r="C8" s="7" t="s">
        <v>368</v>
      </c>
      <c r="D8" s="7" t="s">
        <v>57</v>
      </c>
      <c r="E8" s="2"/>
      <c r="F8" s="2"/>
      <c r="G8" s="2"/>
      <c r="H8" s="2"/>
    </row>
    <row r="9" customFormat="false" ht="15" hidden="false" customHeight="true" outlineLevel="0" collapsed="false">
      <c r="A9" s="2"/>
      <c r="B9" s="9" t="s">
        <v>369</v>
      </c>
      <c r="C9" s="8" t="s">
        <v>370</v>
      </c>
      <c r="D9" s="12" t="s">
        <v>59</v>
      </c>
      <c r="E9" s="2"/>
      <c r="F9" s="2"/>
      <c r="G9" s="2"/>
      <c r="H9" s="2"/>
    </row>
    <row r="10" customFormat="false" ht="15" hidden="false" customHeight="true" outlineLevel="0" collapsed="false">
      <c r="A10" s="2"/>
      <c r="B10" s="9" t="s">
        <v>371</v>
      </c>
      <c r="C10" s="9" t="s">
        <v>372</v>
      </c>
      <c r="D10" s="12" t="s">
        <v>87</v>
      </c>
      <c r="E10" s="2"/>
      <c r="F10" s="2"/>
      <c r="G10" s="2"/>
      <c r="H10" s="2"/>
    </row>
    <row r="11" customFormat="false" ht="15" hidden="false" customHeight="true" outlineLevel="0" collapsed="false">
      <c r="A11" s="2"/>
      <c r="B11" s="9" t="s">
        <v>373</v>
      </c>
      <c r="C11" s="9" t="s">
        <v>372</v>
      </c>
      <c r="D11" s="12" t="s">
        <v>89</v>
      </c>
      <c r="E11" s="2"/>
      <c r="F11" s="2"/>
      <c r="G11" s="2"/>
      <c r="H11" s="2"/>
    </row>
    <row r="12" customFormat="false" ht="15" hidden="false" customHeight="true" outlineLevel="0" collapsed="false">
      <c r="A12" s="2"/>
      <c r="B12" s="9" t="s">
        <v>374</v>
      </c>
      <c r="C12" s="8" t="s">
        <v>375</v>
      </c>
      <c r="D12" s="12" t="s">
        <v>106</v>
      </c>
      <c r="E12" s="2"/>
      <c r="F12" s="2"/>
      <c r="G12" s="2"/>
      <c r="H12" s="2"/>
    </row>
    <row r="13" customFormat="false" ht="15" hidden="false" customHeight="true" outlineLevel="0" collapsed="false">
      <c r="A13" s="2"/>
      <c r="B13" s="9" t="s">
        <v>376</v>
      </c>
      <c r="C13" s="8" t="s">
        <v>370</v>
      </c>
      <c r="D13" s="12" t="s">
        <v>61</v>
      </c>
      <c r="E13" s="2"/>
      <c r="F13" s="2"/>
      <c r="G13" s="2"/>
      <c r="H13" s="2"/>
    </row>
    <row r="14" customFormat="false" ht="15" hidden="false" customHeight="true" outlineLevel="0" collapsed="false">
      <c r="A14" s="2"/>
      <c r="B14" s="9" t="s">
        <v>377</v>
      </c>
      <c r="C14" s="8" t="s">
        <v>378</v>
      </c>
      <c r="D14" s="12" t="s">
        <v>379</v>
      </c>
      <c r="E14" s="2"/>
      <c r="F14" s="2"/>
      <c r="G14" s="2"/>
      <c r="H14" s="2"/>
    </row>
    <row r="15" customFormat="false" ht="15" hidden="false" customHeight="true" outlineLevel="0" collapsed="false">
      <c r="A15" s="2"/>
      <c r="B15" s="9" t="s">
        <v>380</v>
      </c>
      <c r="C15" s="8" t="s">
        <v>381</v>
      </c>
      <c r="D15" s="12" t="s">
        <v>64</v>
      </c>
      <c r="E15" s="2"/>
      <c r="F15" s="2"/>
      <c r="G15" s="2"/>
      <c r="H15" s="2"/>
    </row>
    <row r="16" customFormat="false" ht="15" hidden="false" customHeight="true" outlineLevel="0" collapsed="false">
      <c r="A16" s="2"/>
      <c r="B16" s="9" t="s">
        <v>382</v>
      </c>
      <c r="C16" s="8" t="s">
        <v>383</v>
      </c>
      <c r="D16" s="12" t="s">
        <v>62</v>
      </c>
      <c r="E16" s="2"/>
      <c r="F16" s="2"/>
      <c r="G16" s="2"/>
      <c r="H16" s="2"/>
    </row>
    <row r="17" customFormat="false" ht="15" hidden="false" customHeight="true" outlineLevel="0" collapsed="false">
      <c r="A17" s="2"/>
      <c r="B17" s="9" t="s">
        <v>151</v>
      </c>
      <c r="C17" s="8" t="s">
        <v>384</v>
      </c>
      <c r="D17" s="12" t="s">
        <v>152</v>
      </c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120</v>
      </c>
      <c r="C18" s="8" t="s">
        <v>385</v>
      </c>
      <c r="D18" s="12" t="s">
        <v>154</v>
      </c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157</v>
      </c>
      <c r="C19" s="8" t="s">
        <v>386</v>
      </c>
      <c r="D19" s="12" t="s">
        <v>158</v>
      </c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387</v>
      </c>
      <c r="C20" s="9" t="s">
        <v>388</v>
      </c>
      <c r="D20" s="12" t="s">
        <v>389</v>
      </c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159</v>
      </c>
      <c r="C21" s="9" t="s">
        <v>390</v>
      </c>
      <c r="D21" s="12" t="s">
        <v>160</v>
      </c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391</v>
      </c>
      <c r="C22" s="8" t="s">
        <v>392</v>
      </c>
      <c r="D22" s="12" t="s">
        <v>156</v>
      </c>
      <c r="E22" s="2"/>
      <c r="F22" s="2"/>
      <c r="G22" s="2"/>
      <c r="H22" s="2"/>
    </row>
    <row r="23" customFormat="false" ht="15" hidden="false" customHeight="true" outlineLevel="0" collapsed="false">
      <c r="A23" s="2"/>
      <c r="B23" s="9" t="s">
        <v>393</v>
      </c>
      <c r="C23" s="9" t="s">
        <v>394</v>
      </c>
      <c r="D23" s="12" t="s">
        <v>395</v>
      </c>
      <c r="E23" s="2"/>
      <c r="F23" s="2"/>
      <c r="G23" s="2"/>
      <c r="H23" s="2"/>
    </row>
    <row r="24" customFormat="false" ht="15" hidden="false" customHeight="true" outlineLevel="0" collapsed="false">
      <c r="A24" s="2"/>
      <c r="B24" s="8" t="s">
        <v>286</v>
      </c>
      <c r="C24" s="8" t="s">
        <v>396</v>
      </c>
      <c r="D24" s="12" t="s">
        <v>287</v>
      </c>
      <c r="E24" s="2"/>
      <c r="F24" s="2"/>
      <c r="G24" s="2"/>
      <c r="H24" s="2"/>
    </row>
    <row r="25" customFormat="false" ht="15" hidden="false" customHeight="true" outlineLevel="0" collapsed="false">
      <c r="A25" s="2"/>
      <c r="B25" s="9" t="s">
        <v>288</v>
      </c>
      <c r="C25" s="8" t="s">
        <v>397</v>
      </c>
      <c r="D25" s="12" t="s">
        <v>289</v>
      </c>
      <c r="E25" s="2"/>
      <c r="F25" s="2"/>
      <c r="G25" s="2"/>
      <c r="H25" s="2"/>
    </row>
    <row r="26" customFormat="false" ht="15" hidden="false" customHeight="true" outlineLevel="0" collapsed="false">
      <c r="A26" s="2"/>
      <c r="B26" s="9" t="s">
        <v>398</v>
      </c>
      <c r="C26" s="8" t="s">
        <v>399</v>
      </c>
      <c r="D26" s="12" t="s">
        <v>291</v>
      </c>
      <c r="E26" s="2"/>
      <c r="F26" s="2"/>
      <c r="G26" s="2"/>
      <c r="H26" s="2"/>
    </row>
    <row r="27" customFormat="false" ht="15" hidden="false" customHeight="true" outlineLevel="0" collapsed="false">
      <c r="A27" s="2"/>
      <c r="B27" s="8" t="s">
        <v>400</v>
      </c>
      <c r="C27" s="8" t="s">
        <v>401</v>
      </c>
      <c r="D27" s="12" t="s">
        <v>293</v>
      </c>
      <c r="E27" s="2"/>
      <c r="F27" s="2"/>
      <c r="G27" s="2"/>
      <c r="H27" s="2"/>
    </row>
    <row r="28" customFormat="false" ht="15" hidden="false" customHeight="true" outlineLevel="0" collapsed="false">
      <c r="A28" s="2"/>
      <c r="B28" s="8" t="s">
        <v>246</v>
      </c>
      <c r="C28" s="9" t="s">
        <v>402</v>
      </c>
      <c r="D28" s="12" t="s">
        <v>247</v>
      </c>
      <c r="E28" s="2"/>
      <c r="F28" s="2"/>
      <c r="G28" s="2"/>
      <c r="H28" s="2"/>
    </row>
    <row r="29" customFormat="false" ht="15" hidden="false" customHeight="true" outlineLevel="0" collapsed="false">
      <c r="A29" s="2"/>
      <c r="B29" s="9" t="s">
        <v>242</v>
      </c>
      <c r="C29" s="9" t="s">
        <v>402</v>
      </c>
      <c r="D29" s="12" t="s">
        <v>243</v>
      </c>
      <c r="E29" s="2"/>
      <c r="F29" s="2"/>
      <c r="G29" s="2"/>
      <c r="H29" s="2"/>
    </row>
    <row r="30" customFormat="false" ht="15" hidden="false" customHeight="true" outlineLevel="0" collapsed="false">
      <c r="A30" s="2"/>
      <c r="B30" s="8" t="s">
        <v>403</v>
      </c>
      <c r="C30" s="9" t="s">
        <v>402</v>
      </c>
      <c r="D30" s="12" t="s">
        <v>245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17" t="s">
        <v>31</v>
      </c>
      <c r="C32" s="17" t="s">
        <v>368</v>
      </c>
      <c r="D32" s="17" t="s">
        <v>57</v>
      </c>
      <c r="E32" s="2"/>
      <c r="F32" s="2"/>
      <c r="G32" s="2"/>
      <c r="H32" s="2"/>
    </row>
    <row r="33" customFormat="false" ht="43.25" hidden="false" customHeight="false" outlineLevel="0" collapsed="false">
      <c r="A33" s="2"/>
      <c r="B33" s="9" t="s">
        <v>404</v>
      </c>
      <c r="C33" s="8" t="s">
        <v>405</v>
      </c>
      <c r="D33" s="12" t="s">
        <v>334</v>
      </c>
      <c r="E33" s="2"/>
      <c r="F33" s="2"/>
      <c r="G33" s="2"/>
      <c r="H33" s="2"/>
    </row>
    <row r="34" customFormat="false" ht="32.8" hidden="false" customHeight="false" outlineLevel="0" collapsed="false">
      <c r="A34" s="2"/>
      <c r="B34" s="9" t="s">
        <v>406</v>
      </c>
      <c r="C34" s="9" t="s">
        <v>407</v>
      </c>
      <c r="D34" s="12" t="s">
        <v>339</v>
      </c>
      <c r="E34" s="2"/>
      <c r="F34" s="2"/>
      <c r="G34" s="2"/>
      <c r="H34" s="2"/>
    </row>
    <row r="35" customFormat="false" ht="32.8" hidden="false" customHeight="false" outlineLevel="0" collapsed="false">
      <c r="A35" s="2"/>
      <c r="B35" s="9" t="s">
        <v>408</v>
      </c>
      <c r="C35" s="9" t="s">
        <v>409</v>
      </c>
      <c r="D35" s="12" t="s">
        <v>347</v>
      </c>
      <c r="E35" s="2"/>
      <c r="F35" s="2"/>
      <c r="G35" s="2"/>
      <c r="H35" s="2"/>
    </row>
    <row r="36" customFormat="false" ht="53.7" hidden="false" customHeight="false" outlineLevel="0" collapsed="false">
      <c r="A36" s="2"/>
      <c r="B36" s="9" t="s">
        <v>410</v>
      </c>
      <c r="C36" s="8" t="s">
        <v>411</v>
      </c>
      <c r="D36" s="12" t="s">
        <v>364</v>
      </c>
      <c r="E36" s="2"/>
      <c r="F36" s="2"/>
      <c r="G36" s="2"/>
      <c r="H36" s="2"/>
    </row>
  </sheetData>
  <mergeCells count="1">
    <mergeCell ref="C3:H4"/>
  </mergeCells>
  <hyperlinks>
    <hyperlink ref="D9" r:id="rId1" display="https://www.nber.org/papers/w32487"/>
    <hyperlink ref="D10" r:id="rId2" display="https://www.nber.org/papers/w32966"/>
    <hyperlink ref="D11" r:id="rId3" display="https://www.stlouisfed.org/open-vault/2025/oct/generative-ai-productivity-future-work"/>
    <hyperlink ref="D12" r:id="rId4" display="https://www.imf.org/en/blogs/articles/2024/01/14/ai-will-transform-the-global-economy-lets-make-sure-it-benefits-humanity"/>
    <hyperlink ref="D13" r:id="rId5" display="https://www.oecd.org/en/publications/miracle-or-myth-assessing-the-macroeconomic-productivity-gains-from-artificial-intelligence_b524a072-en.html"/>
    <hyperlink ref="D14" r:id="rId6" display="https://www.pwc.com/gx/en/services/ai/ai-jobs-barometer.html"/>
    <hyperlink ref="D15" r:id="rId7" display="https://www.mckinsey.com/capabilities/tech-and-ai/our-insights/the-economic-potential-of-generative-ai-the-next-productivity-frontier"/>
    <hyperlink ref="D16" r:id="rId8" display="https://www.goldmansachs.com/insights/articles/generative-ai-could-raise-global-gdp-by-7-percent"/>
    <hyperlink ref="D17" r:id="rId9" display="https://www.nber.org/papers/w31161"/>
    <hyperlink ref="D18" r:id="rId10" display="https://www.hbs.edu/faculty/Pages/item.aspx?num=64700"/>
    <hyperlink ref="D19" r:id="rId11" display="https://arxiv.org/abs/2302.06590"/>
    <hyperlink ref="D20" r:id="rId12" display="https://mit-genai.pubpub.org/pub/v5iixksv"/>
    <hyperlink ref="D21" r:id="rId13" display="https://metr.org/blog/2025-07-10-early-2025-ai-experienced-os-dev-study/"/>
    <hyperlink ref="D22" r:id="rId14" display="https://cepr.org/voxeu/columns/productivity-effects-generative-artificial-intelligence"/>
    <hyperlink ref="D23" r:id="rId15" display="https://www.gov.uk/government/publications/microsoft-365-copilot-experiment-cross-government-findings-report"/>
    <hyperlink ref="D24" r:id="rId16" display="https://www.intercom.com/pricing"/>
    <hyperlink ref="D25" r:id="rId17" display="https://www.salesforce.com/agentforce/pricing/"/>
    <hyperlink ref="D26" r:id="rId18" display="https://www.microsoft.com/en-us/microsoft-365/blog/2024/10/17/microsoft-365-copilot-drove-up-to-353-roi-for-small-and-medium-businesses-new-study/"/>
    <hyperlink ref="D27" r:id="rId19" display="https://docs.github.com/en/copilot/get-started/plans"/>
    <hyperlink ref="D28" r:id="rId20" display="https://a16z.com/newsletter/december-2024-enterprise-newsletter-ai-is-driving-a-shift-towards-outcome-based-pricing/"/>
    <hyperlink ref="D29" r:id="rId21" display="https://www.bcg.com/publications/2025/rethinking-b2b-software-pricing-in-the-era-of-ai"/>
    <hyperlink ref="D30" r:id="rId22" display="https://www.bain.com/insights/per-seat-software-pricing-isnt-dead-but-new-models-are-gaining-steam/"/>
    <hyperlink ref="D33" r:id="rId23" display="https://cashmere.io/v/klMFtxkBx"/>
    <hyperlink ref="D34" r:id="rId24" display="https://cashmere.io/v/B7qHhEH06"/>
    <hyperlink ref="D35" r:id="rId25" display="https://cashmere.io/v/kGsLIAodH"/>
    <hyperlink ref="D36" r:id="rId26" display="https://cashmere.io/v/xdtU59G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2026-05-13T04:28:20Z</dcterms:created>
  <dc:creator>openpyxl</dc:creator>
  <dc:description/>
  <dc:language>en-US</dc:language>
  <cp:lastModifiedBy/>
  <dcterms:modified xsi:type="dcterms:W3CDTF">2026-05-13T04:31:39Z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