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01 Macro TFP" sheetId="2" state="visible" r:id="rId4"/>
    <sheet name="S02 Adoption Gap" sheetId="3" state="visible" r:id="rId5"/>
    <sheet name="S03 Labor Exposure" sheetId="4" state="visible" r:id="rId6"/>
    <sheet name="S04 Task Experiments" sheetId="5" state="visible" r:id="rId7"/>
    <sheet name="S05 Sector Value Bands" sheetId="6" state="visible" r:id="rId8"/>
    <sheet name="S06 Heterogeneity" sheetId="7" state="visible" r:id="rId9"/>
    <sheet name="S07 Pricing Ladder" sheetId="8" state="visible" r:id="rId10"/>
    <sheet name="S08 Pricing Cases" sheetId="9" state="visible" r:id="rId11"/>
    <sheet name="S09 Value Calculator" sheetId="10" state="visible" r:id="rId12"/>
    <sheet name="S10 Statista Benchmarks" sheetId="11" state="visible" r:id="rId13"/>
    <sheet name="Source Register" sheetId="12" state="visible" r:id="rId14"/>
    <sheet name="S11 Value Index Method" sheetId="13" state="visible" r:id="rId15"/>
    <sheet name="S12 Sector Value Index" sheetId="14" state="visible" r:id="rId16"/>
    <sheet name="S13 Rev Cost Mix" sheetId="15" state="visible" r:id="rId17"/>
    <sheet name="S14 Pricing Model Matrix" sheetId="16" state="visible" r:id="rId18"/>
    <sheet name="S15 Booster Claim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<sst xmlns="http://schemas.openxmlformats.org/spreadsheetml/2006/main" count="798" uniqueCount="601">
  <si>
    <t xml:space="preserve">AI productivity and pricing evidence pack</t>
  </si>
  <si>
    <t xml:space="preserve">Insight</t>
  </si>
  <si>
    <t xml:space="preserve">This workbook is the source-of-truth dataset for the dossier “What is the real, quantified value of AI today?” Each numbered sheet is a chart-ready insight with source URLs and confidence notes.</t>
  </si>
  <si>
    <t xml:space="preserve">Source note</t>
  </si>
  <si>
    <t xml:space="preserve">Built from Statista Premium search results, CB Insights, academic papers, public macro sources, and vendor pricing pages compiled May 13, 2026.</t>
  </si>
  <si>
    <t xml:space="preserve">Sheet</t>
  </si>
  <si>
    <t xml:space="preserve">Purpose</t>
  </si>
  <si>
    <t xml:space="preserve">S01 Macro TFP</t>
  </si>
  <si>
    <t xml:space="preserve">Macro productivity estimates cluster far below “10x”: current estimates range from +0.07 to +1.5 pp/yr depending on assumptions.</t>
  </si>
  <si>
    <t xml:space="preserve">S02 Adoption Gap</t>
  </si>
  <si>
    <t xml:space="preserve">AI exposure is broad, but daily/intensive use remains much narrower than theoretical exposure.</t>
  </si>
  <si>
    <t xml:space="preserve">S03 Labor Exposure</t>
  </si>
  <si>
    <t xml:space="preserve">AI exposure is high in advanced economies, but exposure is not the same as displacement.</t>
  </si>
  <si>
    <t xml:space="preserve">S04 Task Experiments</t>
  </si>
  <si>
    <t xml:space="preserve">Controlled studies show strong task-level gains, mostly 14–55%, with important negative/null cases.</t>
  </si>
  <si>
    <t xml:space="preserve">S05 Sector Value Bands</t>
  </si>
  <si>
    <t xml:space="preserve">Value varies by workflow: writing and support are strong; senior complex software work is mixed.</t>
  </si>
  <si>
    <t xml:space="preserve">S06 Heterogeneity</t>
  </si>
  <si>
    <t xml:space="preserve">The most reliable effect is compression: junior/novice workers often gain more than experts.</t>
  </si>
  <si>
    <t xml:space="preserve">S07 Pricing Ladder</t>
  </si>
  <si>
    <t xml:space="preserve">20–30% value uplift supports model change and moderate premiums, not 10x pricing.</t>
  </si>
  <si>
    <t xml:space="preserve">S08 Pricing Cases</t>
  </si>
  <si>
    <t xml:space="preserve">Intercom, Salesforce, Microsoft, GitHub, and foundation models show hybrid pricing patterns.</t>
  </si>
  <si>
    <t xml:space="preserve">S09 Value Calculator</t>
  </si>
  <si>
    <t xml:space="preserve">Simple auditable formula translating addressable hours and uplift into monthly price capacity.</t>
  </si>
  <si>
    <t xml:space="preserve">S10 Statista Benchmarks</t>
  </si>
  <si>
    <t xml:space="preserve">Statista-sourced adoption, workforce-impact, productivity-forecast, and market-context benchmarks.</t>
  </si>
  <si>
    <t xml:space="preserve">Source Register</t>
  </si>
  <si>
    <t xml:space="preserve">All source URLs used in the workbook.</t>
  </si>
  <si>
    <t xml:space="preserve">Update: Value Increase Index layer</t>
  </si>
  <si>
    <t xml:space="preserve">S11-S15 add a common denominator for AI value: net AI Value Increase Index (AVII), sector comparisons, revenue/cost value mix, pricing-model implications, and booster-claim challenge logic.</t>
  </si>
  <si>
    <t xml:space="preserve">Macro productivity estimates are material, not 10x</t>
  </si>
  <si>
    <t xml:space="preserve">The rigorous macro range is positive but modest: conservative estimates are around +0.07 to +0.6 pp annual TFP, while the optimistic Goldman scenario reaches +1.5 pp annual labor productivity during deployment.</t>
  </si>
  <si>
    <t xml:space="preserve">Source</t>
  </si>
  <si>
    <t xml:space="preserve">Year</t>
  </si>
  <si>
    <t xml:space="preserve">Annual uplift (pp)</t>
  </si>
  <si>
    <t xml:space="preserve">Metric</t>
  </si>
  <si>
    <t xml:space="preserve">Geography</t>
  </si>
  <si>
    <t xml:space="preserve">Caveat</t>
  </si>
  <si>
    <t xml:space="preserve">Acemoglu</t>
  </si>
  <si>
    <t xml:space="preserve">TFP pp/yr</t>
  </si>
  <si>
    <t xml:space="preserve">US</t>
  </si>
  <si>
    <t xml:space="preserve">Conservative task-based model</t>
  </si>
  <si>
    <t xml:space="preserve">Penn Wharton/CBO</t>
  </si>
  <si>
    <t xml:space="preserve">Conservative midpoint of +0.1–0.2 pp/yr</t>
  </si>
  <si>
    <t xml:space="preserve">OECD low</t>
  </si>
  <si>
    <t xml:space="preserve">Low end of OECD range</t>
  </si>
  <si>
    <t xml:space="preserve">OECD high</t>
  </si>
  <si>
    <t xml:space="preserve">High end of OECD range</t>
  </si>
  <si>
    <t xml:space="preserve">McKinsey low</t>
  </si>
  <si>
    <t xml:space="preserve">Labor prod. pp/yr</t>
  </si>
  <si>
    <t xml:space="preserve">Global</t>
  </si>
  <si>
    <t xml:space="preserve">Low end for gen AI alone</t>
  </si>
  <si>
    <t xml:space="preserve">McKinsey high</t>
  </si>
  <si>
    <t xml:space="preserve">High end for gen AI alone</t>
  </si>
  <si>
    <t xml:space="preserve">Goldman Sachs</t>
  </si>
  <si>
    <t xml:space="preserve">Global/US</t>
  </si>
  <si>
    <t xml:space="preserve">Optimistic deployment-decade scenario</t>
  </si>
  <si>
    <t xml:space="preserve">Sources</t>
  </si>
  <si>
    <t xml:space="preserve">URL</t>
  </si>
  <si>
    <t xml:space="preserve">Acemoglu / NBER</t>
  </si>
  <si>
    <t xml:space="preserve">https://www.nber.org/papers/w32487</t>
  </si>
  <si>
    <t xml:space="preserve">OECD Miracle or Myth</t>
  </si>
  <si>
    <t xml:space="preserve">https://www.oecd.org/en/publications/miracle-or-myth-assessing-the-macroeconomic-productivity-gains-from-artificial-intelligence_b524a072-en.html</t>
  </si>
  <si>
    <t xml:space="preserve">https://www.goldmansachs.com/insights/articles/generative-ai-could-raise-global-gdp-by-7-percent</t>
  </si>
  <si>
    <t xml:space="preserve">McKinsey Global Institute</t>
  </si>
  <si>
    <t xml:space="preserve">https://www.mckinsey.com/capabilities/tech-and-ai/our-insights/the-economic-potential-of-generative-ai-the-next-productivity-frontier</t>
  </si>
  <si>
    <t xml:space="preserve">The macro-micro gap: exposure is broad, daily use is still narrow</t>
  </si>
  <si>
    <t xml:space="preserve">Headline exposure/adoption figures are much larger than daily usage or work-hour penetration. That gap explains why strong task-level studies have not yet translated into a visible 10x macro outcome.</t>
  </si>
  <si>
    <t xml:space="preserve">Share (%)</t>
  </si>
  <si>
    <t xml:space="preserve">Type</t>
  </si>
  <si>
    <t xml:space="preserve">US population using gen AI</t>
  </si>
  <si>
    <t xml:space="preserve">Adoption</t>
  </si>
  <si>
    <t xml:space="preserve">Bick/Blandin/Deming</t>
  </si>
  <si>
    <t xml:space="preserve">Employed workers using at work weekly</t>
  </si>
  <si>
    <t xml:space="preserve">Work usage</t>
  </si>
  <si>
    <t xml:space="preserve">Employed workers using daily</t>
  </si>
  <si>
    <t xml:space="preserve">Daily usage</t>
  </si>
  <si>
    <t xml:space="preserve">Work hours assisted by gen AI - low</t>
  </si>
  <si>
    <t xml:space="preserve">Intensity</t>
  </si>
  <si>
    <t xml:space="preserve">Work hours assisted by gen AI - high</t>
  </si>
  <si>
    <t xml:space="preserve">Formal firm adoption</t>
  </si>
  <si>
    <t xml:space="preserve">Formal adoption</t>
  </si>
  <si>
    <t xml:space="preserve">St. Louis Fed/Bick</t>
  </si>
  <si>
    <t xml:space="preserve">Country-level business adoption low</t>
  </si>
  <si>
    <t xml:space="preserve">Business adoption</t>
  </si>
  <si>
    <t xml:space="preserve">OECD</t>
  </si>
  <si>
    <t xml:space="preserve">Country-level business adoption high</t>
  </si>
  <si>
    <t xml:space="preserve">NBER Rapid Adoption</t>
  </si>
  <si>
    <t xml:space="preserve">https://www.nber.org/papers/w32966</t>
  </si>
  <si>
    <t xml:space="preserve">St. Louis Fed Open Vault</t>
  </si>
  <si>
    <t xml:space="preserve">https://www.stlouisfed.org/open-vault/2025/oct/generative-ai-productivity-future-work</t>
  </si>
  <si>
    <t xml:space="preserve">OECD Ecoscope</t>
  </si>
  <si>
    <t xml:space="preserve">https://oecdecoscope.blog/2024/11/26/miracle-or-myth-assessing-the-macroeconomic-productivity-gains-from-artificial-intelligence/</t>
  </si>
  <si>
    <t xml:space="preserve">Employment exposure is high, but exposure is not displacement</t>
  </si>
  <si>
    <t xml:space="preserve">IMF and Goldman estimates show high partial exposure, especially in advanced economies. The pricing implication is that AI can affect many jobs, but only a subset of tasks and workflows are currently monetizable.</t>
  </si>
  <si>
    <t xml:space="preserve">Global employment exposed</t>
  </si>
  <si>
    <t xml:space="preserve">IMF</t>
  </si>
  <si>
    <t xml:space="preserve">Exposure</t>
  </si>
  <si>
    <t xml:space="preserve">Advanced economies exposed</t>
  </si>
  <si>
    <t xml:space="preserve">Emerging markets exposed</t>
  </si>
  <si>
    <t xml:space="preserve">Low-income countries exposed</t>
  </si>
  <si>
    <t xml:space="preserve">US occupations with some exposure</t>
  </si>
  <si>
    <t xml:space="preserve">US task substitution share</t>
  </si>
  <si>
    <t xml:space="preserve">Substitution</t>
  </si>
  <si>
    <t xml:space="preserve">Work hours currently assisted - high</t>
  </si>
  <si>
    <t xml:space="preserve">Current use</t>
  </si>
  <si>
    <t xml:space="preserve">IMF AI and Global Economy</t>
  </si>
  <si>
    <t xml:space="preserve">https://www.imf.org/en/blogs/articles/2024/01/14/ai-will-transform-the-global-economy-lets-make-sure-it-benefits-humanity</t>
  </si>
  <si>
    <t xml:space="preserve">Goldman Sachs GDP impact</t>
  </si>
  <si>
    <t xml:space="preserve">Task-level gains are real, but bounded by task scope</t>
  </si>
  <si>
    <t xml:space="preserve">The strongest experiments show 14–55% productivity gains, but complex expert software work shows null or negative results. This makes a broad 20–30% value thesis more defensible than a 10x claim.</t>
  </si>
  <si>
    <t xml:space="preserve">Function</t>
  </si>
  <si>
    <t xml:space="preserve">Study</t>
  </si>
  <si>
    <t xml:space="preserve">Effect (%)</t>
  </si>
  <si>
    <t xml:space="preserve">Confidence</t>
  </si>
  <si>
    <t xml:space="preserve">Customer support</t>
  </si>
  <si>
    <t xml:space="preserve">Brynjolfsson/Li/Raymond</t>
  </si>
  <si>
    <t xml:space="preserve">Issues resolved/hour</t>
  </si>
  <si>
    <t xml:space="preserve">Very high</t>
  </si>
  <si>
    <t xml:space="preserve">Novice +34%; experts ~0%</t>
  </si>
  <si>
    <t xml:space="preserve">Consulting</t>
  </si>
  <si>
    <t xml:space="preserve">HBS/BCG Jagged Frontier</t>
  </si>
  <si>
    <t xml:space="preserve">Speed</t>
  </si>
  <si>
    <t xml:space="preserve">Quality +40%; outside-frontier correctness -19pp</t>
  </si>
  <si>
    <t xml:space="preserve">Writing</t>
  </si>
  <si>
    <t xml:space="preserve">Noy &amp; Zhang Science</t>
  </si>
  <si>
    <t xml:space="preserve">Time reduction</t>
  </si>
  <si>
    <t xml:space="preserve">Quality +18%</t>
  </si>
  <si>
    <t xml:space="preserve">Software simple task</t>
  </si>
  <si>
    <t xml:space="preserve">GitHub Copilot lab</t>
  </si>
  <si>
    <t xml:space="preserve">Faster completion</t>
  </si>
  <si>
    <t xml:space="preserve">High within scope</t>
  </si>
  <si>
    <t xml:space="preserve">Narrow HTTP server task</t>
  </si>
  <si>
    <t xml:space="preserve">Enterprise software</t>
  </si>
  <si>
    <t xml:space="preserve">MIT/Accenture Copilot RCT</t>
  </si>
  <si>
    <t xml:space="preserve">PRs/builds</t>
  </si>
  <si>
    <t xml:space="preserve">High</t>
  </si>
  <si>
    <t xml:space="preserve">Junior/high-workload gains higher</t>
  </si>
  <si>
    <t xml:space="preserve">Cross-industry email</t>
  </si>
  <si>
    <t xml:space="preserve">Dillon et al. Copilot RCT</t>
  </si>
  <si>
    <t xml:space="preserve">Email time reduction</t>
  </si>
  <si>
    <t xml:space="preserve">Meetings unchanged</t>
  </si>
  <si>
    <t xml:space="preserve">Public sector</t>
  </si>
  <si>
    <t xml:space="preserve">UK GDS Copilot</t>
  </si>
  <si>
    <t xml:space="preserve">Day saved</t>
  </si>
  <si>
    <t xml:space="preserve">Low-medium</t>
  </si>
  <si>
    <t xml:space="preserve">Self-reported</t>
  </si>
  <si>
    <t xml:space="preserve">Experienced OS dev</t>
  </si>
  <si>
    <t xml:space="preserve">METR</t>
  </si>
  <si>
    <t xml:space="preserve">Completion time</t>
  </si>
  <si>
    <t xml:space="preserve">Moderate</t>
  </si>
  <si>
    <t xml:space="preserve">AI slowed work in complex familiar repos</t>
  </si>
  <si>
    <t xml:space="preserve">NBER Generative AI at Work</t>
  </si>
  <si>
    <t xml:space="preserve">https://www.nber.org/papers/w31161</t>
  </si>
  <si>
    <t xml:space="preserve">HBS Jagged Frontier</t>
  </si>
  <si>
    <t xml:space="preserve">https://www.hbs.edu/faculty/Pages/item.aspx?num=64700</t>
  </si>
  <si>
    <t xml:space="preserve">Noy &amp; Zhang</t>
  </si>
  <si>
    <t xml:space="preserve">https://cepr.org/voxeu/columns/productivity-effects-generative-artificial-intelligence</t>
  </si>
  <si>
    <t xml:space="preserve">GitHub Copilot experiment</t>
  </si>
  <si>
    <t xml:space="preserve">https://arxiv.org/abs/2302.06590</t>
  </si>
  <si>
    <t xml:space="preserve">METR developer study</t>
  </si>
  <si>
    <t xml:space="preserve">https://metr.org/blog/2025-07-10-early-2025-ai-experienced-os-dev-study/</t>
  </si>
  <si>
    <t xml:space="preserve">Defensible value bands vary sharply by workflow</t>
  </si>
  <si>
    <t xml:space="preserve">The pricing-safe claim is not “AI improves everything by 10x.” It is “AI improves specific workflows by measurable bands, with confidence varying by evidence quality.”</t>
  </si>
  <si>
    <t xml:space="preserve">Workflow</t>
  </si>
  <si>
    <t xml:space="preserve">Low effect (%)</t>
  </si>
  <si>
    <t xml:space="preserve">Central effect (%)</t>
  </si>
  <si>
    <t xml:space="preserve">High effect (%)</t>
  </si>
  <si>
    <t xml:space="preserve">Notes</t>
  </si>
  <si>
    <t xml:space="preserve">Routine writing / document drafting</t>
  </si>
  <si>
    <t xml:space="preserve">Document-centric work</t>
  </si>
  <si>
    <t xml:space="preserve">Professional knowledge work inside frontier</t>
  </si>
  <si>
    <t xml:space="preserve">Consulting-style tasks</t>
  </si>
  <si>
    <t xml:space="preserve">Customer support novice agents</t>
  </si>
  <si>
    <t xml:space="preserve">High-volume support</t>
  </si>
  <si>
    <t xml:space="preserve">Customer support expert agents</t>
  </si>
  <si>
    <t xml:space="preserve">Expert ceiling</t>
  </si>
  <si>
    <t xml:space="preserve">Software dev standard tasks</t>
  </si>
  <si>
    <t xml:space="preserve">Moderate-high</t>
  </si>
  <si>
    <t xml:space="preserve">Junior/mid, greenfield</t>
  </si>
  <si>
    <t xml:space="preserve">Software dev senior complex repos</t>
  </si>
  <si>
    <t xml:space="preserve">Risk of slowdown</t>
  </si>
  <si>
    <t xml:space="preserve">E-commerce conversion workflows</t>
  </si>
  <si>
    <t xml:space="preserve">Workflow-specific revenue uplift</t>
  </si>
  <si>
    <t xml:space="preserve">Email / admin work</t>
  </si>
  <si>
    <t xml:space="preserve">Heavy users</t>
  </si>
  <si>
    <t xml:space="preserve">Legal routine contract review</t>
  </si>
  <si>
    <t xml:space="preserve">Narrow NDA-type tasks</t>
  </si>
  <si>
    <t xml:space="preserve">Task evidence synthesis</t>
  </si>
  <si>
    <t xml:space="preserve">Multiple primary sources listed in Source Register</t>
  </si>
  <si>
    <t xml:space="preserve">The most reliable AI effect is skill compression</t>
  </si>
  <si>
    <t xml:space="preserve">Across support, consulting, and writing, the largest gains often go to novice or below-median users. This is powerful for onboarding and high-volume support, but weakens flat per-seat pricing for senior expert teams.</t>
  </si>
  <si>
    <t xml:space="preserve">Higher-gain segment</t>
  </si>
  <si>
    <t xml:space="preserve">Higher-gain effect (%)</t>
  </si>
  <si>
    <t xml:space="preserve">Lower-gain segment</t>
  </si>
  <si>
    <t xml:space="preserve">Lower-gain effect (%)</t>
  </si>
  <si>
    <t xml:space="preserve">Low-skill / novice</t>
  </si>
  <si>
    <t xml:space="preserve">Experienced / high-skill</t>
  </si>
  <si>
    <t xml:space="preserve">Brynjolfsson et al.</t>
  </si>
  <si>
    <t xml:space="preserve">Customer support tenure</t>
  </si>
  <si>
    <t xml:space="preserve">New workers</t>
  </si>
  <si>
    <t xml:space="preserve">Expert tenure</t>
  </si>
  <si>
    <t xml:space="preserve">Below-median performers</t>
  </si>
  <si>
    <t xml:space="preserve">Above-median performers</t>
  </si>
  <si>
    <t xml:space="preserve">HBS/BCG</t>
  </si>
  <si>
    <t xml:space="preserve">Below-median writers</t>
  </si>
  <si>
    <t xml:space="preserve">Larger quality gains</t>
  </si>
  <si>
    <t xml:space="preserve">High performers</t>
  </si>
  <si>
    <t xml:space="preserve">Smaller gains</t>
  </si>
  <si>
    <t xml:space="preserve">Content creation</t>
  </si>
  <si>
    <t xml:space="preserve">Adjacent outsiders</t>
  </si>
  <si>
    <t xml:space="preserve">Near experts</t>
  </si>
  <si>
    <t xml:space="preserve">Distant outsiders</t>
  </si>
  <si>
    <t xml:space="preserve">13% below experts</t>
  </si>
  <si>
    <t xml:space="preserve">HBS Wall Effect</t>
  </si>
  <si>
    <t xml:space="preserve">HBS GenAI Wall Effect</t>
  </si>
  <si>
    <t xml:space="preserve">https://www.library.hbs.edu/working-knowledge/gen-ai-boosts-productivity-but-cant-turn-novices-into-experts</t>
  </si>
  <si>
    <t xml:space="preserve">Value uplift determines pricing model, not just price level</t>
  </si>
  <si>
    <t xml:space="preserve">A 20–30% productivity gain is enough to justify AI meters, credits, and moderate premium tiers. It is not enough to justify 10x price increases unless the product replaces a measurable labor cost or revenue bottleneck.</t>
  </si>
  <si>
    <t xml:space="preserve">Value uplift zone</t>
  </si>
  <si>
    <t xml:space="preserve">Buyer response</t>
  </si>
  <si>
    <t xml:space="preserve">Pricing model implication</t>
  </si>
  <si>
    <t xml:space="preserve">Vendor strategy</t>
  </si>
  <si>
    <t xml:space="preserve">&lt;10%</t>
  </si>
  <si>
    <t xml:space="preserve">Skepticism; bundle into base</t>
  </si>
  <si>
    <t xml:space="preserve">No premium; retention feature</t>
  </si>
  <si>
    <t xml:space="preserve">Bundle/free AI</t>
  </si>
  <si>
    <t xml:space="preserve">10–20%</t>
  </si>
  <si>
    <t xml:space="preserve">Cautious adoption with proof</t>
  </si>
  <si>
    <t xml:space="preserve">Hybrid seat + usage; modest premium</t>
  </si>
  <si>
    <t xml:space="preserve">$5–15/user/month AI add-on</t>
  </si>
  <si>
    <t xml:space="preserve">20–30%</t>
  </si>
  <si>
    <t xml:space="preserve">Separate AI line item possible</t>
  </si>
  <si>
    <t xml:space="preserve">Consumption/outcome meter plus seat</t>
  </si>
  <si>
    <t xml:space="preserve">20–50% premium on base tier</t>
  </si>
  <si>
    <t xml:space="preserve">30–60%</t>
  </si>
  <si>
    <t xml:space="preserve">Labor-budget shift possible</t>
  </si>
  <si>
    <t xml:space="preserve">Outcome/resolution pricing viable</t>
  </si>
  <si>
    <t xml:space="preserve">Shared savings or agent-as-FTE</t>
  </si>
  <si>
    <t xml:space="preserve">&gt;60%</t>
  </si>
  <si>
    <t xml:space="preserve">Full substitution possible in narrow workflows</t>
  </si>
  <si>
    <t xml:space="preserve">Outcome pricing at fraction of value</t>
  </si>
  <si>
    <t xml:space="preserve">10–20% of value created, not 10x list price</t>
  </si>
  <si>
    <t xml:space="preserve">BCG AI software pricing</t>
  </si>
  <si>
    <t xml:space="preserve">https://www.bcg.com/publications/2025/rethinking-b2b-software-pricing-in-the-era-of-ai</t>
  </si>
  <si>
    <t xml:space="preserve">Bain seat pricing and AI</t>
  </si>
  <si>
    <t xml:space="preserve">https://www.bain.com/insights/per-seat-software-pricing-isnt-dead-but-new-models-are-gaining-steam/</t>
  </si>
  <si>
    <t xml:space="preserve">a16z outcome pricing</t>
  </si>
  <si>
    <t xml:space="preserve">https://a16z.com/newsletter/december-2024-enterprise-newsletter-ai-is-driving-a-shift-towards-outcome-based-pricing/</t>
  </si>
  <si>
    <t xml:space="preserve">AI vendors are moving to hybrid pricing, not pure 10x premiums</t>
  </si>
  <si>
    <t xml:space="preserve">The market evidence shows hybrid pricing: seats remain for predictability, while credits, actions, outcomes, and tokens meter AI-specific value and cost.</t>
  </si>
  <si>
    <t xml:space="preserve">Company</t>
  </si>
  <si>
    <t xml:space="preserve">Model</t>
  </si>
  <si>
    <t xml:space="preserve">Price point</t>
  </si>
  <si>
    <t xml:space="preserve">Value metric</t>
  </si>
  <si>
    <t xml:space="preserve">Value evidence</t>
  </si>
  <si>
    <t xml:space="preserve">Key caveat</t>
  </si>
  <si>
    <t xml:space="preserve">Intercom Fin</t>
  </si>
  <si>
    <t xml:space="preserve">Outcome/resolution</t>
  </si>
  <si>
    <t xml:space="preserve">$0.99 per outcome</t>
  </si>
  <si>
    <t xml:space="preserve">Resolved issue or completed workflow</t>
  </si>
  <si>
    <t xml:space="preserve">Human query cost often $5–10; 80–90% per-resolution savings</t>
  </si>
  <si>
    <t xml:space="preserve">Cost rises as AI succeeds; outcome definition disputed</t>
  </si>
  <si>
    <t xml:space="preserve">Salesforce Agentforce</t>
  </si>
  <si>
    <t xml:space="preserve">Flex credits + seats</t>
  </si>
  <si>
    <t xml:space="preserve">$500 per 100k credits; $2/conversation still listed; $125/user/month flat access</t>
  </si>
  <si>
    <t xml:space="preserve">Agent action, conversation, or employee agent access</t>
  </si>
  <si>
    <t xml:space="preserve">Granular action meter after $2/conversation backlash</t>
  </si>
  <si>
    <t xml:space="preserve">Billing complexity and observability burden</t>
  </si>
  <si>
    <t xml:space="preserve">Microsoft 365 Copilot</t>
  </si>
  <si>
    <t xml:space="preserve">Seat</t>
  </si>
  <si>
    <t xml:space="preserve">$30/user/month enterprise</t>
  </si>
  <si>
    <t xml:space="preserve">Productivity uplift</t>
  </si>
  <si>
    <t xml:space="preserve">Forrester TEI 132–353% projected ROI</t>
  </si>
  <si>
    <t xml:space="preserve">Paid adoption selective; commissioned ROI</t>
  </si>
  <si>
    <t xml:space="preserve">GitHub Copilot</t>
  </si>
  <si>
    <t xml:space="preserve">Seat to AI credits</t>
  </si>
  <si>
    <t xml:space="preserve">$19 Business; $39 Enterprise</t>
  </si>
  <si>
    <t xml:space="preserve">Developer productivity / AI credits</t>
  </si>
  <si>
    <t xml:space="preserve">Lab tasks +55.8%; enterprise RCT +22% PRs</t>
  </si>
  <si>
    <t xml:space="preserve">Complex repo studies show null/negative risks</t>
  </si>
  <si>
    <t xml:space="preserve">OpenAI / Anthropic</t>
  </si>
  <si>
    <t xml:space="preserve">Token usage</t>
  </si>
  <si>
    <t xml:space="preserve">Per 1M input/output tokens</t>
  </si>
  <si>
    <t xml:space="preserve">Tokens processed</t>
  </si>
  <si>
    <t xml:space="preserve">Cost floor for application-layer AI</t>
  </si>
  <si>
    <t xml:space="preserve">Runaway usage and margin compression risk</t>
  </si>
  <si>
    <t xml:space="preserve">Intercom pricing</t>
  </si>
  <si>
    <t xml:space="preserve">https://www.intercom.com/pricing</t>
  </si>
  <si>
    <t xml:space="preserve">Salesforce Agentforce pricing</t>
  </si>
  <si>
    <t xml:space="preserve">https://www.salesforce.com/agentforce/pricing/</t>
  </si>
  <si>
    <t xml:space="preserve">Microsoft Copilot ROI</t>
  </si>
  <si>
    <t xml:space="preserve">https://www.microsoft.com/en-us/microsoft-365/blog/2024/10/17/microsoft-365-copilot-drove-up-to-353-roi-for-small-and-medium-businesses-new-study/</t>
  </si>
  <si>
    <t xml:space="preserve">GitHub Copilot docs</t>
  </si>
  <si>
    <t xml:space="preserve">https://docs.github.com/en/copilot/get-started/plans</t>
  </si>
  <si>
    <t xml:space="preserve">OpenAI API pricing</t>
  </si>
  <si>
    <t xml:space="preserve">https://developers.openai.com/api/docs/pricing</t>
  </si>
  <si>
    <t xml:space="preserve">Simple value-to-price calculator</t>
  </si>
  <si>
    <t xml:space="preserve">This sheet translates workflow-level productivity into monthly value and a defensible price ceiling. Formulas are live so users can change assumptions.</t>
  </si>
  <si>
    <t xml:space="preserve">Role / workflow</t>
  </si>
  <si>
    <t xml:space="preserve">Loaded hourly cost ($)</t>
  </si>
  <si>
    <t xml:space="preserve">Addressable hours / week</t>
  </si>
  <si>
    <t xml:space="preserve">Productivity uplift (%)</t>
  </si>
  <si>
    <t xml:space="preserve">Recoverable share (%)</t>
  </si>
  <si>
    <t xml:space="preserve">Gross value / week ($)</t>
  </si>
  <si>
    <t xml:space="preserve">Monthly value ($)</t>
  </si>
  <si>
    <t xml:space="preserve">Target ROI multiple</t>
  </si>
  <si>
    <t xml:space="preserve">Defensible monthly price ($)</t>
  </si>
  <si>
    <t xml:space="preserve">Knowledge worker - document work</t>
  </si>
  <si>
    <t xml:space="preserve">Central 20–30% uplift; only addressable tasks count</t>
  </si>
  <si>
    <t xml:space="preserve">Customer support novice agent</t>
  </si>
  <si>
    <t xml:space="preserve">High-volume support; stronger evidence</t>
  </si>
  <si>
    <t xml:space="preserve">Senior software engineer - complex repo</t>
  </si>
  <si>
    <t xml:space="preserve">METR risk: zero/negative central case</t>
  </si>
  <si>
    <t xml:space="preserve">Junior software developer - standard tasks</t>
  </si>
  <si>
    <t xml:space="preserve">Enterprise PR/build evidence</t>
  </si>
  <si>
    <t xml:space="preserve">Narrow routine review only</t>
  </si>
  <si>
    <t xml:space="preserve">Sales/marketing content</t>
  </si>
  <si>
    <t xml:space="preserve">Writing/content evidence</t>
  </si>
  <si>
    <t xml:space="preserve">Task-level evidence sources</t>
  </si>
  <si>
    <t xml:space="preserve">See S04 and S05</t>
  </si>
  <si>
    <t xml:space="preserve">Pricing ladder framework</t>
  </si>
  <si>
    <t xml:space="preserve">See S07 and S08</t>
  </si>
  <si>
    <t xml:space="preserve">Statista benchmark layer</t>
  </si>
  <si>
    <t xml:space="preserve">Statista provides market/adoption context rather than causal productivity proof: it shows workplace adoption, function-level gen AI use, workforce-impact expectations, and long-term AI labor-productivity forecasts.</t>
  </si>
  <si>
    <t xml:space="preserve">Statista item</t>
  </si>
  <si>
    <t xml:space="preserve">Value</t>
  </si>
  <si>
    <t xml:space="preserve">Unit</t>
  </si>
  <si>
    <t xml:space="preserve">Original source</t>
  </si>
  <si>
    <t xml:space="preserve">Statista URL</t>
  </si>
  <si>
    <t xml:space="preserve">Interpretation</t>
  </si>
  <si>
    <t xml:space="preserve">AI adoption vs generative AI adoption, marketing &amp; sales</t>
  </si>
  <si>
    <t xml:space="preserve">Percent using gen AI</t>
  </si>
  <si>
    <t xml:space="preserve">Worldwide</t>
  </si>
  <si>
    <t xml:space="preserve">McKinsey / Stanford Medicine via Statista</t>
  </si>
  <si>
    <t xml:space="preserve">https://cashmere.io/v/klMFtxkBx</t>
  </si>
  <si>
    <t xml:space="preserve">Marketing and sales had nearly 14% generative AI adoption in 2023.</t>
  </si>
  <si>
    <t xml:space="preserve">Impact of AI on workforce worldwide</t>
  </si>
  <si>
    <t xml:space="preserve">Percent transformational impact</t>
  </si>
  <si>
    <t xml:space="preserve">Thomson Reuters via Statista</t>
  </si>
  <si>
    <t xml:space="preserve">https://cashmere.io/v/B7qHhEH06</t>
  </si>
  <si>
    <t xml:space="preserve">42% expected AI/GenAI to have transformational impact on profession over five years.</t>
  </si>
  <si>
    <t xml:space="preserve">Percent high impact</t>
  </si>
  <si>
    <t xml:space="preserve">36% expected high impact.</t>
  </si>
  <si>
    <t xml:space="preserve">Artificial intelligence impact on labor productivity in 2035</t>
  </si>
  <si>
    <t xml:space="preserve">Percent increase vs baseline</t>
  </si>
  <si>
    <t xml:space="preserve">Sweden</t>
  </si>
  <si>
    <t xml:space="preserve">Accenture / Frontier Economics via Statista</t>
  </si>
  <si>
    <t xml:space="preserve">https://cashmere.io/v/kGsLIAodH</t>
  </si>
  <si>
    <t xml:space="preserve">Highest selected-country labor-productivity uplift estimate in source.</t>
  </si>
  <si>
    <t xml:space="preserve">Generative AI adoption in India marketing</t>
  </si>
  <si>
    <t xml:space="preserve">Percent expectation</t>
  </si>
  <si>
    <t xml:space="preserve">India</t>
  </si>
  <si>
    <t xml:space="preserve">Mobile Marketing Association via Statista</t>
  </si>
  <si>
    <t xml:space="preserve">https://cashmere.io/v/GGNrDNXhF</t>
  </si>
  <si>
    <t xml:space="preserve">Marketers believed AI would enhance marketing without replacing human creativity/expertise.</t>
  </si>
  <si>
    <t xml:space="preserve">UAE generative AI adoption</t>
  </si>
  <si>
    <t xml:space="preserve">Percent actively deploying</t>
  </si>
  <si>
    <t xml:space="preserve">UAE</t>
  </si>
  <si>
    <t xml:space="preserve">IBM via Statista</t>
  </si>
  <si>
    <t xml:space="preserve">https://cashmere.io/v/Z6u4doJKR</t>
  </si>
  <si>
    <t xml:space="preserve">Employees reported company actively deploying gen AI.</t>
  </si>
  <si>
    <t xml:space="preserve">Enterprise productivity software market size</t>
  </si>
  <si>
    <t xml:space="preserve">USD billions</t>
  </si>
  <si>
    <t xml:space="preserve">GP Bullhound via Statista</t>
  </si>
  <si>
    <t xml:space="preserve">https://cashmere.io/v/xdtU59GOw</t>
  </si>
  <si>
    <t xml:space="preserve">Forecast global enterprise productivity software revenue by 2025.</t>
  </si>
  <si>
    <t xml:space="preserve">Source register</t>
  </si>
  <si>
    <t xml:space="preserve">Canonical URLs used across the evidence pack. Use this sheet when rebuilding the report or creating a deck from the workbook.</t>
  </si>
  <si>
    <t xml:space="preserve">Use</t>
  </si>
  <si>
    <t xml:space="preserve">Acemoglu, Simple Macroeconomics of AI</t>
  </si>
  <si>
    <t xml:space="preserve">Macro productivity</t>
  </si>
  <si>
    <t xml:space="preserve">Bick, Blandin &amp; Deming, Rapid Adoption</t>
  </si>
  <si>
    <t xml:space="preserve">Adoption/time savings</t>
  </si>
  <si>
    <t xml:space="preserve">St. Louis Fed, Generative AI Productivity</t>
  </si>
  <si>
    <t xml:space="preserve">IMF, AI Will Transform Global Economy</t>
  </si>
  <si>
    <t xml:space="preserve">Labor exposure</t>
  </si>
  <si>
    <t xml:space="preserve">OECD, Miracle or Myth</t>
  </si>
  <si>
    <t xml:space="preserve">PwC AI Jobs Barometer</t>
  </si>
  <si>
    <t xml:space="preserve">Revenue/wages/jobs</t>
  </si>
  <si>
    <t xml:space="preserve">https://www.pwc.com/gx/en/services/ai/ai-jobs-barometer.html</t>
  </si>
  <si>
    <t xml:space="preserve">McKinsey Economic Potential of GenAI</t>
  </si>
  <si>
    <t xml:space="preserve">Economic potential</t>
  </si>
  <si>
    <t xml:space="preserve">Goldman Sachs GDP estimate</t>
  </si>
  <si>
    <t xml:space="preserve">Macro optimism</t>
  </si>
  <si>
    <t xml:space="preserve">Customer support RCT</t>
  </si>
  <si>
    <t xml:space="preserve">Consulting RCT</t>
  </si>
  <si>
    <t xml:space="preserve">Software dev lab RCT</t>
  </si>
  <si>
    <t xml:space="preserve">MIT/Accenture Copilot field experiment</t>
  </si>
  <si>
    <t xml:space="preserve">Software dev enterprise RCT</t>
  </si>
  <si>
    <t xml:space="preserve">https://mit-genai.pubpub.org/pub/v5iixksv</t>
  </si>
  <si>
    <t xml:space="preserve">Software dev complex RCT</t>
  </si>
  <si>
    <t xml:space="preserve">Noy &amp; Zhang, Science</t>
  </si>
  <si>
    <t xml:space="preserve">Writing RCT</t>
  </si>
  <si>
    <t xml:space="preserve">UK Government Copilot experiment</t>
  </si>
  <si>
    <t xml:space="preserve">Public sector deployment</t>
  </si>
  <si>
    <t xml:space="preserve">https://www.gov.uk/government/publications/microsoft-365-copilot-experiment-cross-government-findings-report</t>
  </si>
  <si>
    <t xml:space="preserve">Outcome pricing</t>
  </si>
  <si>
    <t xml:space="preserve">Flex/action pricing</t>
  </si>
  <si>
    <t xml:space="preserve">Microsoft Copilot ROI study</t>
  </si>
  <si>
    <t xml:space="preserve">Seat pricing / ROI</t>
  </si>
  <si>
    <t xml:space="preserve">GitHub Copilot plans</t>
  </si>
  <si>
    <t xml:space="preserve">Developer AI pricing</t>
  </si>
  <si>
    <t xml:space="preserve">Pricing thought leadership</t>
  </si>
  <si>
    <t xml:space="preserve">Bain AI seat pricing</t>
  </si>
  <si>
    <t xml:space="preserve">Statista: AI adoption vs generative AI adoption 2023</t>
  </si>
  <si>
    <t xml:space="preserve">Adoption by function</t>
  </si>
  <si>
    <t xml:space="preserve">Statista: Impact of AI on workforce worldwide 2024</t>
  </si>
  <si>
    <t xml:space="preserve">Workforce impact expectations</t>
  </si>
  <si>
    <t xml:space="preserve">Statista: AI labor productivity impact in 2035</t>
  </si>
  <si>
    <t xml:space="preserve">Long-term productivity forecast</t>
  </si>
  <si>
    <t xml:space="preserve">Statista: Global enterprise productivity software market size 2025</t>
  </si>
  <si>
    <t xml:space="preserve">Market context</t>
  </si>
  <si>
    <t xml:space="preserve">Anthropic labor-market impacts</t>
  </si>
  <si>
    <t xml:space="preserve">https://www.anthropic.com/research/labor-market-impacts</t>
  </si>
  <si>
    <t xml:space="preserve">Theoretical vs observed exposure, automation/augmentation weighting, employment tests</t>
  </si>
  <si>
    <t xml:space="preserve">Primary AI lab research</t>
  </si>
  <si>
    <t xml:space="preserve">S15</t>
  </si>
  <si>
    <t xml:space="preserve">Anthropic Economic Index March 2026</t>
  </si>
  <si>
    <t xml:space="preserve">https://www.anthropic.com/research/economic-index-march-2026-report</t>
  </si>
  <si>
    <t xml:space="preserve">Task coverage, augmentation/automation, usage concentration, task wage/value</t>
  </si>
  <si>
    <t xml:space="preserve">Axios / Dario Amodei interview</t>
  </si>
  <si>
    <t xml:space="preserve">https://www.axios.com/2025/05/28/ai-jobs-white-collar-unemployment-anthropic</t>
  </si>
  <si>
    <t xml:space="preserve">Entry-level job loss and unemployment claims</t>
  </si>
  <si>
    <t xml:space="preserve">Media interview</t>
  </si>
  <si>
    <t xml:space="preserve">CNBC / Jensen Huang</t>
  </si>
  <si>
    <t xml:space="preserve">https://www.cnbc.com/2025/05/28/nvidia-ceo-jensen-huang-youll-lose-your-job-to-somebody-who-uses-ai.html</t>
  </si>
  <si>
    <t xml:space="preserve">AI user replacing non-user narrative</t>
  </si>
  <si>
    <t xml:space="preserve">Fortune / Sam Altman AI washing</t>
  </si>
  <si>
    <t xml:space="preserve">https://fortune.com/article/sam-altman-ai-washing-tech-layoffs/</t>
  </si>
  <si>
    <t xml:space="preserve">AI washing and displacement comments</t>
  </si>
  <si>
    <t xml:space="preserve">Media interview/reporting</t>
  </si>
  <si>
    <t xml:space="preserve">Mass General Brigham AI scribes</t>
  </si>
  <si>
    <t xml:space="preserve">https://www.massgeneralbrigham.org/en/about/newsroom/press-releases/ai-scribes-linked-to-modest-reductions-in-ehr-documentation-time</t>
  </si>
  <si>
    <t xml:space="preserve">Healthcare documentation time and revenue impact</t>
  </si>
  <si>
    <t xml:space="preserve">Healthcare study summary</t>
  </si>
  <si>
    <t xml:space="preserve">S12</t>
  </si>
  <si>
    <t xml:space="preserve">Thomson Reuters Future of Professionals</t>
  </si>
  <si>
    <t xml:space="preserve">https://www.thomsonreuters.com/en/press-releases/2024/july/ai-set-to-save-professionals-12-hours-per-week-by-2029</t>
  </si>
  <si>
    <t xml:space="preserve">Legal/tax/risk time-saving survey</t>
  </si>
  <si>
    <t xml:space="preserve">Vendor survey</t>
  </si>
  <si>
    <t xml:space="preserve">McKinsey product design</t>
  </si>
  <si>
    <t xml:space="preserve">https://www.mckinsey.com/capabilities/tech-and-ai/our-insights/generative-ai-fuels-creative-physical-product-design-but-is-no-magic-wand</t>
  </si>
  <si>
    <t xml:space="preserve">Product design cycle-time and caveats</t>
  </si>
  <si>
    <t xml:space="preserve">Consulting analysis</t>
  </si>
  <si>
    <t xml:space="preserve">HBS value stick</t>
  </si>
  <si>
    <t xml:space="preserve">https://online.hbs.edu/blog/post/value-based-strategy</t>
  </si>
  <si>
    <t xml:space="preserve">WTP, price, cost, value sharing</t>
  </si>
  <si>
    <t xml:space="preserve">Academic/business framework</t>
  </si>
  <si>
    <t xml:space="preserve">S11</t>
  </si>
  <si>
    <t xml:space="preserve">AI Value Increase Index (AVII): common denominator</t>
  </si>
  <si>
    <t xml:space="preserve">AVII converts time savings, throughput, quality, risk, revenue lift, and review drag into one net economic value-uplift percentage. Baseline 100 = current workflow value pool; AVII 124 = 24% net value uplift.</t>
  </si>
  <si>
    <t xml:space="preserve">Component</t>
  </si>
  <si>
    <t xml:space="preserve">Formula / treatment</t>
  </si>
  <si>
    <t xml:space="preserve">Examples</t>
  </si>
  <si>
    <t xml:space="preserve">Baseline value pool</t>
  </si>
  <si>
    <t xml:space="preserve">Addressable revenue contribution margin + addressable labor cost + quantified risk/quality value</t>
  </si>
  <si>
    <t xml:space="preserve">The denominator. Prevents 55% task speed from becoming a fake 55% company productivity claim.</t>
  </si>
  <si>
    <t xml:space="preserve">Support cost pool; legal billable/rework pool; clinician documentation burden; developer throughput value</t>
  </si>
  <si>
    <t xml:space="preserve">Revenue value</t>
  </si>
  <si>
    <t xml:space="preserve">Incremental revenue × gross margin × attribution confidence</t>
  </si>
  <si>
    <t xml:space="preserve">Use only where AI can plausibly increase demand, conversion, win rate, price, or capacity sold.</t>
  </si>
  <si>
    <t xml:space="preserve">Sales conversion, e-commerce uplift, additional patient visits, more billable work</t>
  </si>
  <si>
    <t xml:space="preserve">Cost value</t>
  </si>
  <si>
    <t xml:space="preserve">Addressable cost × productivity uplift × recoverable share</t>
  </si>
  <si>
    <t xml:space="preserve">Most AI value lands here today; discount heavily when saved time is not converted into fewer hours, lower cost, or more output.</t>
  </si>
  <si>
    <t xml:space="preserve">Hours saved, lower cost per ticket, faster document drafting</t>
  </si>
  <si>
    <t xml:space="preserve">Quality/risk value</t>
  </si>
  <si>
    <t xml:space="preserve">Avoided error, compliance risk, burnout, churn, or quality loss translated into money</t>
  </si>
  <si>
    <t xml:space="preserve">Real but harder to prove. Include separately to avoid mixing soft benefits into direct cost savings.</t>
  </si>
  <si>
    <t xml:space="preserve">Lower escalation, less burnout, better first draft quality</t>
  </si>
  <si>
    <t xml:space="preserve">AI/review drag</t>
  </si>
  <si>
    <t xml:space="preserve">Tool cost + implementation cost + human verification/rework + governance overhead</t>
  </si>
  <si>
    <t xml:space="preserve">The deduction that stops theoretical automation from becoming real value too quickly.</t>
  </si>
  <si>
    <t xml:space="preserve">Legal review, code review, clinical sign-off, hallucination checks</t>
  </si>
  <si>
    <t xml:space="preserve">Net AVII uplift</t>
  </si>
  <si>
    <t xml:space="preserve">Revenue value + cost value + quality/risk value - AI/review drag</t>
  </si>
  <si>
    <t xml:space="preserve">The comparable index used across industries and pricing models.</t>
  </si>
  <si>
    <t xml:space="preserve">24% net value uplift means value pool moves from 100 to 124</t>
  </si>
  <si>
    <t xml:space="preserve">Revenue-weighted AVII</t>
  </si>
  <si>
    <t xml:space="preserve">Net AVII × (1.0 × revenue share + 0.6 × cost share + 0.8 × risk/quality share)</t>
  </si>
  <si>
    <t xml:space="preserve">A pricing-salience version: buyers usually respond more strongly to growth stories than pure cost savings.</t>
  </si>
  <si>
    <t xml:space="preserve">A 20% mostly-cost case may price weaker than a 12% revenue case</t>
  </si>
  <si>
    <t xml:space="preserve">Important: AVII is a valuation/indexing layer, not a new empirical study. It normalizes reported evidence into a pricing-relevant common denominator and makes assumptions explicit.</t>
  </si>
  <si>
    <t xml:space="preserve">Sector-level AI Value Increase Index</t>
  </si>
  <si>
    <t xml:space="preserve">Central estimates normalize the evidence into net economic value uplift. The split across revenue, cost, and quality/risk is directional and should be adjusted for a specific product or customer workflow.</t>
  </si>
  <si>
    <t xml:space="preserve">Sector / workflow</t>
  </si>
  <si>
    <t xml:space="preserve">Primary value metric</t>
  </si>
  <si>
    <t xml:space="preserve">Revenue uplift</t>
  </si>
  <si>
    <t xml:space="preserve">Cost decrease</t>
  </si>
  <si>
    <t xml:space="preserve">Quality / risk value</t>
  </si>
  <si>
    <t xml:space="preserve">AI / review drag</t>
  </si>
  <si>
    <t xml:space="preserve">Index (100+uplift)</t>
  </si>
  <si>
    <t xml:space="preserve">Replaceability score</t>
  </si>
  <si>
    <t xml:space="preserve">Pricing implication</t>
  </si>
  <si>
    <t xml:space="preserve">Evidence anchor</t>
  </si>
  <si>
    <t xml:space="preserve">Resolved issues per hour / cost per resolution</t>
  </si>
  <si>
    <t xml:space="preserve">Outcome or resolution pricing where attribution is clean; fallback to seat + resolution credits</t>
  </si>
  <si>
    <t xml:space="preserve">NBER support + Intercom/Salesforce pricing</t>
  </si>
  <si>
    <t xml:space="preserve">Routine writing / content</t>
  </si>
  <si>
    <t xml:space="preserve">Time to accepted draft + quality</t>
  </si>
  <si>
    <t xml:space="preserve">Seat + usage credits; outcome pricing only for measurable content ops</t>
  </si>
  <si>
    <t xml:space="preserve">Noy-Zhang + HBS/BCG</t>
  </si>
  <si>
    <t xml:space="preserve">Legal / compliance</t>
  </si>
  <si>
    <t xml:space="preserve">Hours saved in research, drafting, review</t>
  </si>
  <si>
    <t xml:space="preserve">Matter/task pricing for document-heavy workflows; seat pricing where lawyer judgment remains central</t>
  </si>
  <si>
    <t xml:space="preserve">Thomson Reuters + Anthropic exposure</t>
  </si>
  <si>
    <t xml:space="preserve">Software engineering</t>
  </si>
  <si>
    <t xml:space="preserve">PRs, builds, cycle time</t>
  </si>
  <si>
    <t xml:space="preserve">Seat + metered credits; avoid 10x claims for senior complex repos</t>
  </si>
  <si>
    <t xml:space="preserve">GitHub/MIT/METR</t>
  </si>
  <si>
    <t xml:space="preserve">Sales / outbound</t>
  </si>
  <si>
    <t xml:space="preserve">Qualified pipeline and conversion</t>
  </si>
  <si>
    <t xml:space="preserve">Usage or outcome-proxy pricing per enriched lead, meeting, or qualified account; avoid full revenue share unless attribution is proven</t>
  </si>
  <si>
    <t xml:space="preserve">Anthropic API automation patterns</t>
  </si>
  <si>
    <t xml:space="preserve">Low-moderate</t>
  </si>
  <si>
    <t xml:space="preserve">Healthcare documentation</t>
  </si>
  <si>
    <t xml:space="preserve">Documentation time, EHR time, burnout</t>
  </si>
  <si>
    <t xml:space="preserve">Per-clinician seat or per-encounter usage; outcome pricing hard unless tied to visits or documentation KPIs</t>
  </si>
  <si>
    <t xml:space="preserve">JAMA/Mass General Brigham + AMA</t>
  </si>
  <si>
    <t xml:space="preserve">Product design / architecture</t>
  </si>
  <si>
    <t xml:space="preserve">Design-cycle compression + concept volume</t>
  </si>
  <si>
    <t xml:space="preserve">Premium seat + project credits; outcome pricing weak unless tied to cycle-time milestones</t>
  </si>
  <si>
    <t xml:space="preserve">General knowledge work</t>
  </si>
  <si>
    <t xml:space="preserve">Email, docs, coordination</t>
  </si>
  <si>
    <t xml:space="preserve">Seat-based AI add-on or bundled AI; outcome pricing usually too hard</t>
  </si>
  <si>
    <t xml:space="preserve">Dillon et al. Copilot + St. Louis Fed</t>
  </si>
  <si>
    <t xml:space="preserve">Revenue versus cost mix of AI value</t>
  </si>
  <si>
    <t xml:space="preserve">This sheet separates economic value created from pricing salience. If most value is cost saving, the price ceiling is usually lower than a revenue-growth story with the same net economic uplift.</t>
  </si>
  <si>
    <t xml:space="preserve">Revenue share of value</t>
  </si>
  <si>
    <t xml:space="preserve">Cost share of value</t>
  </si>
  <si>
    <t xml:space="preserve">Quality/risk share</t>
  </si>
  <si>
    <t xml:space="preserve">Buyer salience note</t>
  </si>
  <si>
    <t xml:space="preserve">Mostly cost; outcome pricing works only because resolution is measurable</t>
  </si>
  <si>
    <t xml:space="preserve">Cost/time story; revenue story needs distribution/conversion proof</t>
  </si>
  <si>
    <t xml:space="preserve">Billable-hour economics complicate buyer and seller incentives</t>
  </si>
  <si>
    <t xml:space="preserve">Faster shipping can be revenue-framed, but attribution is weak</t>
  </si>
  <si>
    <t xml:space="preserve">Best revenue narrative, but evidence and attribution are weaker</t>
  </si>
  <si>
    <t xml:space="preserve">Burnout and quality matter but are harder to price than visits</t>
  </si>
  <si>
    <t xml:space="preserve">Cycle-time value is credible if product launch economics are known</t>
  </si>
  <si>
    <t xml:space="preserve">Diffuse value; best priced as seat or bundle</t>
  </si>
  <si>
    <t xml:space="preserve">AI pricing model implication by replaceability and measurability</t>
  </si>
  <si>
    <t xml:space="preserve">The more AI replaces a measurable human task, the more pricing can move toward outcomes. Where AI only augments human judgment or coordination, seat/usage models remain more defensible.</t>
  </si>
  <si>
    <t xml:space="preserve">Replaceability</t>
  </si>
  <si>
    <t xml:space="preserve">Outcome measurability</t>
  </si>
  <si>
    <t xml:space="preserve">Human verification burden</t>
  </si>
  <si>
    <t xml:space="preserve">Recommended pricing model</t>
  </si>
  <si>
    <t xml:space="preserve">Why</t>
  </si>
  <si>
    <t xml:space="preserve">Example workflows</t>
  </si>
  <si>
    <t xml:space="preserve">Vendor can credibly price per resolved/accepted business result because value is observable and attribution is clean.</t>
  </si>
  <si>
    <t xml:space="preserve">Support resolution, document classification, data extraction</t>
  </si>
  <si>
    <t xml:space="preserve">Medium</t>
  </si>
  <si>
    <t xml:space="preserve">Output-unit pricing</t>
  </si>
  <si>
    <t xml:space="preserve">AI performs a task, but the buyer still needs acceptance criteria and audit rights.</t>
  </si>
  <si>
    <t xml:space="preserve">Drafted contracts, enriched leads, generated reports</t>
  </si>
  <si>
    <t xml:space="preserve">Seat + usage credits</t>
  </si>
  <si>
    <t xml:space="preserve">Human remains the unit of work, but usage varies enough to justify metering.</t>
  </si>
  <si>
    <t xml:space="preserve">Developer copilots, analyst copilots, legal assistants</t>
  </si>
  <si>
    <t xml:space="preserve">Low</t>
  </si>
  <si>
    <t xml:space="preserve">Seat add-on or bundled AI</t>
  </si>
  <si>
    <t xml:space="preserve">Value is real but diffuse across many tasks; buyers resist outcome pricing because attribution is weak.</t>
  </si>
  <si>
    <t xml:space="preserve">General productivity suites, enterprise search</t>
  </si>
  <si>
    <t xml:space="preserve">Bundle / retention feature</t>
  </si>
  <si>
    <t xml:space="preserve">AI is a feature enhancer rather than a separate economic product; pricing power is limited.</t>
  </si>
  <si>
    <t xml:space="preserve">Meeting summaries, basic drafting, internal Q&amp;A</t>
  </si>
  <si>
    <t xml:space="preserve">Booster claims versus normalized value evidence</t>
  </si>
  <si>
    <t xml:space="preserve">This sheet challenges large AI-displacement claims by translating them into the same denominator: observed net value uplift and pricing implications, not theoretical capability alone.</t>
  </si>
  <si>
    <t xml:space="preserve">Claim / narrative</t>
  </si>
  <si>
    <t xml:space="preserve">Implied magnitude</t>
  </si>
  <si>
    <t xml:space="preserve">What the evidence actually measures</t>
  </si>
  <si>
    <t xml:space="preserve">Common-denominator challenge</t>
  </si>
  <si>
    <t xml:space="preserve">AI could eradicate half of entry-level white-collar jobs and push unemployment to 10-20%</t>
  </si>
  <si>
    <t xml:space="preserve">Dario Amodei via Axios</t>
  </si>
  <si>
    <t xml:space="preserve">Role-level displacement</t>
  </si>
  <si>
    <t xml:space="preserve">Anthropic also shows a large gap between theoretical and observed exposure; unemployment impact so far is small/insignificant in its labor-market tests</t>
  </si>
  <si>
    <t xml:space="preserve">Treat as exposure risk, not realized value. AVII requires observed usage, recoverability, and review drag.</t>
  </si>
  <si>
    <t xml:space="preserve">Outcome pricing plausible only in narrow automated tasks; broad 10x pricing is unsupported</t>
  </si>
  <si>
    <t xml:space="preserve">You will be replaced by someone who uses AI</t>
  </si>
  <si>
    <t xml:space="preserve">Jensen Huang via CNBC</t>
  </si>
  <si>
    <t xml:space="preserve">Worker-level productivity competition</t>
  </si>
  <si>
    <t xml:space="preserve">This is closer to augmentation than full replacement; it implies skill-biased productivity gains</t>
  </si>
  <si>
    <t xml:space="preserve">Supports 20-40% workflow uplift framing rather than 80% workforce reduction</t>
  </si>
  <si>
    <t xml:space="preserve">Seat + usage pricing remains logical because the human remains the unit</t>
  </si>
  <si>
    <t xml:space="preserve">Some layoffs are AI washing, but real displacement will become palpable</t>
  </si>
  <si>
    <t xml:space="preserve">Sam Altman via Fortune</t>
  </si>
  <si>
    <t xml:space="preserve">Mixed displacement and adoption narrative</t>
  </si>
  <si>
    <t xml:space="preserve">Article cites counter-evidence showing no major macro labor shift yet and executive surveys with little employment impact so far</t>
  </si>
  <si>
    <t xml:space="preserve">Use adoption and labor evidence as lagging indicators, not vendor claims</t>
  </si>
  <si>
    <t xml:space="preserve">Pricing should be tied to measurable workflow value, not hype narrative</t>
  </si>
  <si>
    <t xml:space="preserve">Claude has done at least a quarter of tasks in 49% of jobs</t>
  </si>
  <si>
    <t xml:space="preserve">Anthropic Economic Index</t>
  </si>
  <si>
    <t xml:space="preserve">Task coverage across jobs</t>
  </si>
  <si>
    <t xml:space="preserve">The metric is usage/task coverage, not job replacement or net economic value</t>
  </si>
  <si>
    <t xml:space="preserve">Convert coverage into AVII using addressable share × uplift × recoverability - drag</t>
  </si>
  <si>
    <t xml:space="preserve">Good for identifying where usage meters may emerge</t>
  </si>
  <si>
    <t xml:space="preserve">Computer/math tasks are theoretically 94% exposed</t>
  </si>
  <si>
    <t xml:space="preserve">Theoretical task feasibility</t>
  </si>
  <si>
    <t xml:space="preserve">Observed exposure for computer/math is much lower at 33%; model limits, legal constraints, software requirements, and human verification slow diffusion</t>
  </si>
  <si>
    <t xml:space="preserve">Theoretical exposure is not the denominator for price. Observed net value is.</t>
  </si>
  <si>
    <t xml:space="preserve">Use hybrid pricing; avoid assuming full automation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</si>
</sst>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\$#,##0.00"/>
    <numFmt numFmtId="168" formatCode="#,##0.0"/>
    <numFmt numFmtId="169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6"/>
      <color rgb="FF28251D"/>
      <name val="Arial"/>
      <family val="0"/>
      <charset val="1"/>
    </font>
    <font>
      <b val="true"/>
      <sz val="11"/>
      <color rgb="FF01696F"/>
      <name val="Arial"/>
      <family val="0"/>
      <charset val="1"/>
    </font>
    <font>
      <sz val="10"/>
      <color rgb="FF28251D"/>
      <name val="Arial"/>
      <family val="0"/>
      <charset val="1"/>
    </font>
    <font>
      <sz val="9"/>
      <color rgb="FF7A797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28251D"/>
      <name val="Arial"/>
      <family val="0"/>
      <charset val="1"/>
    </font>
    <font>
      <b val="true"/>
      <sz val="12"/>
      <color rgb="FF1B474D"/>
      <name val="Calibri"/>
      <family val="0"/>
      <charset val="1"/>
    </font>
    <font>
      <sz val="12"/>
      <color theme="1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Calibri"/>
      <family val="0"/>
      <charset val="1"/>
    </font>
    <font>
      <b val="true"/>
      <sz val="15"/>
      <color rgb="FF1B474D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A84B2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1B474D"/>
        <bgColor rgb="FF28251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/>
      <right/>
      <top/>
      <bottom style="thin">
        <color rgb="FFD4D1C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6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6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6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6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169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B3B3B3"/>
      <rgbColor rgb="FF878787"/>
      <rgbColor rgb="FF9999FF"/>
      <rgbColor rgb="FF9F423F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8AAA9"/>
      <rgbColor rgb="FFCC99FF"/>
      <rgbColor rgb="FFD4D1CA"/>
      <rgbColor rgb="FF4F81BD"/>
      <rgbColor rgb="FF33CCCC"/>
      <rgbColor rgb="FF99CC00"/>
      <rgbColor rgb="FFFFCC00"/>
      <rgbColor rgb="FFFF9900"/>
      <rgbColor rgb="FFFF6600"/>
      <rgbColor rgb="FF7A7974"/>
      <rgbColor rgb="FF969696"/>
      <rgbColor rgb="FF1B474D"/>
      <rgbColor rgb="FF339966"/>
      <rgbColor rgb="FF003300"/>
      <rgbColor rgb="FF333300"/>
      <rgbColor rgb="FFA84B2F"/>
      <rgbColor rgb="FFC0504D"/>
      <rgbColor rgb="FF555555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Annual productivity uplift estimates (percentage points)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'S01 Macro TFP'!D8</c:f>
              <c:strCache>
                <c:ptCount val="1"/>
                <c:pt idx="0">
                  <c:v>Annual uplift (pp)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'S01 Macro TFP'!$B$9:$B$15</c:f>
              <c:strCache>
                <c:ptCount val="7"/>
                <c:pt idx="0">
                  <c:v>Acemoglu</c:v>
                </c:pt>
                <c:pt idx="1">
                  <c:v>Penn Wharton/CBO</c:v>
                </c:pt>
                <c:pt idx="2">
                  <c:v>OECD low</c:v>
                </c:pt>
                <c:pt idx="3">
                  <c:v>OECD high</c:v>
                </c:pt>
                <c:pt idx="4">
                  <c:v>McKinsey low</c:v>
                </c:pt>
                <c:pt idx="5">
                  <c:v>McKinsey high</c:v>
                </c:pt>
                <c:pt idx="6">
                  <c:v>Goldman Sachs</c:v>
                </c:pt>
              </c:strCache>
            </c:strRef>
          </c:cat>
          <c:val>
            <c:numRef>
              <c:f>'S01 Macro TFP'!$D$9:$D$15</c:f>
              <c:numCache>
                <c:formatCode>0.00</c:formatCode>
                <c:ptCount val="7"/>
                <c:pt idx="0">
                  <c:v>0.07</c:v>
                </c:pt>
                <c:pt idx="1">
                  <c:v>0.15</c:v>
                </c:pt>
                <c:pt idx="2">
                  <c:v>0.25</c:v>
                </c:pt>
                <c:pt idx="3">
                  <c:v>0.6</c:v>
                </c:pt>
                <c:pt idx="4">
                  <c:v>0.1</c:v>
                </c:pt>
                <c:pt idx="5">
                  <c:v>0.6</c:v>
                </c:pt>
                <c:pt idx="6">
                  <c:v>1.5</c:v>
                </c:pt>
              </c:numCache>
            </c:numRef>
          </c:val>
        </c:ser>
        <c:gapWidth val="150"/>
        <c:overlap val="0"/>
        <c:axId val="135513"/>
        <c:axId val="66164570"/>
      </c:barChart>
      <c:catAx>
        <c:axId val="1355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164570"/>
        <c:crosses val="autoZero"/>
        <c:auto val="1"/>
        <c:lblAlgn val="ctr"/>
        <c:lblOffset val="100"/>
        <c:noMultiLvlLbl val="0"/>
      </c:catAx>
      <c:valAx>
        <c:axId val="661645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Annual uplift (pp)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55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Adoption, usage, and intensity are not the same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'S02 Adoption Gap'!C8</c:f>
              <c:strCache>
                <c:ptCount val="1"/>
                <c:pt idx="0">
                  <c:v>Share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'S02 Adoption Gap'!$B$9:$B$16</c:f>
              <c:strCache>
                <c:ptCount val="8"/>
                <c:pt idx="0">
                  <c:v>US population using gen AI</c:v>
                </c:pt>
                <c:pt idx="1">
                  <c:v>Employed workers using at work weekly</c:v>
                </c:pt>
                <c:pt idx="2">
                  <c:v>Employed workers using daily</c:v>
                </c:pt>
                <c:pt idx="3">
                  <c:v>Work hours assisted by gen AI - low</c:v>
                </c:pt>
                <c:pt idx="4">
                  <c:v>Work hours assisted by gen AI - high</c:v>
                </c:pt>
                <c:pt idx="5">
                  <c:v>Formal firm adoption</c:v>
                </c:pt>
                <c:pt idx="6">
                  <c:v>Country-level business adoption low</c:v>
                </c:pt>
                <c:pt idx="7">
                  <c:v>Country-level business adoption high</c:v>
                </c:pt>
              </c:strCache>
            </c:strRef>
          </c:cat>
          <c:val>
            <c:numRef>
              <c:f>'S02 Adoption Gap'!$C$9:$C$16</c:f>
              <c:numCache>
                <c:formatCode>0.0</c:formatCode>
                <c:ptCount val="8"/>
                <c:pt idx="0">
                  <c:v>39.4</c:v>
                </c:pt>
                <c:pt idx="1">
                  <c:v>23</c:v>
                </c:pt>
                <c:pt idx="2">
                  <c:v>9</c:v>
                </c:pt>
                <c:pt idx="3">
                  <c:v>1</c:v>
                </c:pt>
                <c:pt idx="4">
                  <c:v>7</c:v>
                </c:pt>
                <c:pt idx="5">
                  <c:v>5.4</c:v>
                </c:pt>
                <c:pt idx="6">
                  <c:v>5</c:v>
                </c:pt>
                <c:pt idx="7">
                  <c:v>15</c:v>
                </c:pt>
              </c:numCache>
            </c:numRef>
          </c:val>
        </c:ser>
        <c:gapWidth val="150"/>
        <c:overlap val="0"/>
        <c:axId val="91838401"/>
        <c:axId val="73291115"/>
      </c:barChart>
      <c:catAx>
        <c:axId val="918384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291115"/>
        <c:crosses val="autoZero"/>
        <c:auto val="1"/>
        <c:lblAlgn val="ctr"/>
        <c:lblOffset val="100"/>
        <c:noMultiLvlLbl val="0"/>
      </c:catAx>
      <c:valAx>
        <c:axId val="73291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Share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8384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Labor exposure is much larger than current AI-assisted 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'S03 Labor Exposure'!C8</c:f>
              <c:strCache>
                <c:ptCount val="1"/>
                <c:pt idx="0">
                  <c:v>Share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'S03 Labor Exposure'!$B$9:$B$15</c:f>
              <c:strCache>
                <c:ptCount val="7"/>
                <c:pt idx="0">
                  <c:v>Global employment exposed</c:v>
                </c:pt>
                <c:pt idx="1">
                  <c:v>Advanced economies exposed</c:v>
                </c:pt>
                <c:pt idx="2">
                  <c:v>Emerging markets exposed</c:v>
                </c:pt>
                <c:pt idx="3">
                  <c:v>Low-income countries exposed</c:v>
                </c:pt>
                <c:pt idx="4">
                  <c:v>US occupations with some exposure</c:v>
                </c:pt>
                <c:pt idx="5">
                  <c:v>US task substitution share</c:v>
                </c:pt>
                <c:pt idx="6">
                  <c:v>Work hours currently assisted - high</c:v>
                </c:pt>
              </c:strCache>
            </c:strRef>
          </c:cat>
          <c:val>
            <c:numRef>
              <c:f>'S03 Labor Exposure'!$C$9:$C$15</c:f>
              <c:numCache>
                <c:formatCode>0.0</c:formatCode>
                <c:ptCount val="7"/>
                <c:pt idx="0">
                  <c:v>40</c:v>
                </c:pt>
                <c:pt idx="1">
                  <c:v>60</c:v>
                </c:pt>
                <c:pt idx="2">
                  <c:v>40</c:v>
                </c:pt>
                <c:pt idx="3">
                  <c:v>26</c:v>
                </c:pt>
                <c:pt idx="4">
                  <c:v>67</c:v>
                </c:pt>
                <c:pt idx="5">
                  <c:v>25</c:v>
                </c:pt>
                <c:pt idx="6">
                  <c:v>7</c:v>
                </c:pt>
              </c:numCache>
            </c:numRef>
          </c:val>
        </c:ser>
        <c:gapWidth val="150"/>
        <c:overlap val="0"/>
        <c:axId val="64106323"/>
        <c:axId val="73007011"/>
      </c:barChart>
      <c:catAx>
        <c:axId val="641063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007011"/>
        <c:crosses val="autoZero"/>
        <c:auto val="1"/>
        <c:lblAlgn val="ctr"/>
        <c:lblOffset val="100"/>
        <c:noMultiLvlLbl val="0"/>
      </c:catAx>
      <c:valAx>
        <c:axId val="73007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Share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06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Measured productivity effects by workflow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'S04 Task Experiments'!D8</c:f>
              <c:strCache>
                <c:ptCount val="1"/>
                <c:pt idx="0">
                  <c:v>Effect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'S04 Task Experiments'!$B$9:$B$16</c:f>
              <c:strCache>
                <c:ptCount val="8"/>
                <c:pt idx="0">
                  <c:v>Customer support</c:v>
                </c:pt>
                <c:pt idx="1">
                  <c:v>Consulting</c:v>
                </c:pt>
                <c:pt idx="2">
                  <c:v>Writing</c:v>
                </c:pt>
                <c:pt idx="3">
                  <c:v>Software simple task</c:v>
                </c:pt>
                <c:pt idx="4">
                  <c:v>Enterprise software</c:v>
                </c:pt>
                <c:pt idx="5">
                  <c:v>Cross-industry email</c:v>
                </c:pt>
                <c:pt idx="6">
                  <c:v>Public sector</c:v>
                </c:pt>
                <c:pt idx="7">
                  <c:v>Experienced OS dev</c:v>
                </c:pt>
              </c:strCache>
            </c:strRef>
          </c:cat>
          <c:val>
            <c:numRef>
              <c:f>'S04 Task Experiments'!$D$9:$D$16</c:f>
              <c:numCache>
                <c:formatCode>0.0</c:formatCode>
                <c:ptCount val="8"/>
                <c:pt idx="0">
                  <c:v>13.8</c:v>
                </c:pt>
                <c:pt idx="1">
                  <c:v>25.1</c:v>
                </c:pt>
                <c:pt idx="2">
                  <c:v>40</c:v>
                </c:pt>
                <c:pt idx="3">
                  <c:v>55.8</c:v>
                </c:pt>
                <c:pt idx="4">
                  <c:v>22</c:v>
                </c:pt>
                <c:pt idx="5">
                  <c:v>31</c:v>
                </c:pt>
                <c:pt idx="6">
                  <c:v>5.4</c:v>
                </c:pt>
                <c:pt idx="7">
                  <c:v>-19</c:v>
                </c:pt>
              </c:numCache>
            </c:numRef>
          </c:val>
        </c:ser>
        <c:gapWidth val="150"/>
        <c:overlap val="0"/>
        <c:axId val="3933222"/>
        <c:axId val="20641413"/>
      </c:barChart>
      <c:catAx>
        <c:axId val="39332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641413"/>
        <c:crosses val="autoZero"/>
        <c:auto val="1"/>
        <c:lblAlgn val="ctr"/>
        <c:lblOffset val="100"/>
        <c:noMultiLvlLbl val="0"/>
      </c:catAx>
      <c:valAx>
        <c:axId val="20641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Effect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332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Central defensible effect by workflow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'S05 Sector Value Bands'!D8</c:f>
              <c:strCache>
                <c:ptCount val="1"/>
                <c:pt idx="0">
                  <c:v>Central effect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'S05 Sector Value Bands'!$B$9:$B$17</c:f>
              <c:strCache>
                <c:ptCount val="9"/>
                <c:pt idx="0">
                  <c:v>Routine writing / document drafting</c:v>
                </c:pt>
                <c:pt idx="1">
                  <c:v>Professional knowledge work inside frontier</c:v>
                </c:pt>
                <c:pt idx="2">
                  <c:v>Customer support novice agents</c:v>
                </c:pt>
                <c:pt idx="3">
                  <c:v>Customer support expert agents</c:v>
                </c:pt>
                <c:pt idx="4">
                  <c:v>Software dev standard tasks</c:v>
                </c:pt>
                <c:pt idx="5">
                  <c:v>Software dev senior complex repos</c:v>
                </c:pt>
                <c:pt idx="6">
                  <c:v>E-commerce conversion workflows</c:v>
                </c:pt>
                <c:pt idx="7">
                  <c:v>Email / admin work</c:v>
                </c:pt>
                <c:pt idx="8">
                  <c:v>Legal routine contract review</c:v>
                </c:pt>
              </c:strCache>
            </c:strRef>
          </c:cat>
          <c:val>
            <c:numRef>
              <c:f>'S05 Sector Value Bands'!$D$9:$D$17</c:f>
              <c:numCache>
                <c:formatCode>0.0</c:formatCode>
                <c:ptCount val="9"/>
                <c:pt idx="0">
                  <c:v>40</c:v>
                </c:pt>
                <c:pt idx="1">
                  <c:v>25</c:v>
                </c:pt>
                <c:pt idx="2">
                  <c:v>35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8</c:v>
                </c:pt>
                <c:pt idx="7">
                  <c:v>31</c:v>
                </c:pt>
                <c:pt idx="8">
                  <c:v>200</c:v>
                </c:pt>
              </c:numCache>
            </c:numRef>
          </c:val>
        </c:ser>
        <c:gapWidth val="150"/>
        <c:overlap val="0"/>
        <c:axId val="93844018"/>
        <c:axId val="38112230"/>
      </c:barChart>
      <c:catAx>
        <c:axId val="938440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112230"/>
        <c:crosses val="autoZero"/>
        <c:auto val="1"/>
        <c:lblAlgn val="ctr"/>
        <c:lblOffset val="100"/>
        <c:noMultiLvlLbl val="0"/>
      </c:catAx>
      <c:valAx>
        <c:axId val="3811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Central effect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8440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Higher-gain segment effects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'S06 Heterogeneity'!D8</c:f>
              <c:strCache>
                <c:ptCount val="1"/>
                <c:pt idx="0">
                  <c:v>Higher-gain effect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'S06 Heterogeneity'!$B$9:$B$11</c:f>
              <c:strCache>
                <c:ptCount val="3"/>
                <c:pt idx="0">
                  <c:v>Customer support</c:v>
                </c:pt>
                <c:pt idx="1">
                  <c:v>Customer support tenure</c:v>
                </c:pt>
                <c:pt idx="2">
                  <c:v>Consulting</c:v>
                </c:pt>
              </c:strCache>
            </c:strRef>
          </c:cat>
          <c:val>
            <c:numRef>
              <c:f>'S06 Heterogeneity'!$D$9:$D$11</c:f>
              <c:numCache>
                <c:formatCode>General</c:formatCode>
                <c:ptCount val="3"/>
                <c:pt idx="0">
                  <c:v>34</c:v>
                </c:pt>
                <c:pt idx="1">
                  <c:v>46</c:v>
                </c:pt>
                <c:pt idx="2">
                  <c:v>43</c:v>
                </c:pt>
              </c:numCache>
            </c:numRef>
          </c:val>
        </c:ser>
        <c:gapWidth val="150"/>
        <c:overlap val="0"/>
        <c:axId val="51317820"/>
        <c:axId val="98607842"/>
      </c:barChart>
      <c:catAx>
        <c:axId val="513178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607842"/>
        <c:crosses val="autoZero"/>
        <c:auto val="1"/>
        <c:lblAlgn val="ctr"/>
        <c:lblOffset val="100"/>
        <c:noMultiLvlLbl val="0"/>
      </c:catAx>
      <c:valAx>
        <c:axId val="98607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Effect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3178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Defensible monthly price at target ROI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'S09 Value Calculator'!J8</c:f>
              <c:strCache>
                <c:ptCount val="1"/>
                <c:pt idx="0">
                  <c:v>Defensible monthly price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\$#,##0.0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'S09 Value Calculator'!$B$9:$B$14</c:f>
              <c:strCache>
                <c:ptCount val="6"/>
                <c:pt idx="0">
                  <c:v>Knowledge worker - document work</c:v>
                </c:pt>
                <c:pt idx="1">
                  <c:v>Customer support novice agent</c:v>
                </c:pt>
                <c:pt idx="2">
                  <c:v>Senior software engineer - complex repo</c:v>
                </c:pt>
                <c:pt idx="3">
                  <c:v>Junior software developer - standard tasks</c:v>
                </c:pt>
                <c:pt idx="4">
                  <c:v>Legal routine contract review</c:v>
                </c:pt>
                <c:pt idx="5">
                  <c:v>Sales/marketing content</c:v>
                </c:pt>
              </c:strCache>
            </c:strRef>
          </c:cat>
          <c:val>
            <c:numRef>
              <c:f>'S09 Value Calculator'!$J$9:$J$14</c:f>
              <c:numCache>
                <c:formatCode>\$#,##0.00</c:formatCode>
                <c:ptCount val="6"/>
                <c:pt idx="0">
                  <c:v>92.378752886836</c:v>
                </c:pt>
                <c:pt idx="1">
                  <c:v>121.247113163972</c:v>
                </c:pt>
                <c:pt idx="2">
                  <c:v>0</c:v>
                </c:pt>
                <c:pt idx="3">
                  <c:v>142.263279445727</c:v>
                </c:pt>
                <c:pt idx="4">
                  <c:v>277.136258660508</c:v>
                </c:pt>
                <c:pt idx="5">
                  <c:v>124.711316397229</c:v>
                </c:pt>
              </c:numCache>
            </c:numRef>
          </c:val>
        </c:ser>
        <c:gapWidth val="150"/>
        <c:overlap val="0"/>
        <c:axId val="41595927"/>
        <c:axId val="48431644"/>
      </c:barChart>
      <c:catAx>
        <c:axId val="415959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431644"/>
        <c:crosses val="autoZero"/>
        <c:auto val="1"/>
        <c:lblAlgn val="ctr"/>
        <c:lblOffset val="100"/>
        <c:noMultiLvlLbl val="0"/>
      </c:catAx>
      <c:valAx>
        <c:axId val="48431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Monthly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5959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Selected Statista benchmarks for adoption and market context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'S10 Statista Benchmarks'!D8</c:f>
              <c:strCache>
                <c:ptCount val="1"/>
                <c:pt idx="0">
                  <c:v>Unit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'S10 Statista Benchmarks'!$B$9:$B$15</c:f>
              <c:strCache>
                <c:ptCount val="7"/>
                <c:pt idx="0">
                  <c:v>AI adoption vs generative AI adoption, marketing &amp; sales</c:v>
                </c:pt>
                <c:pt idx="1">
                  <c:v>Impact of AI on workforce worldwide</c:v>
                </c:pt>
                <c:pt idx="2">
                  <c:v>Impact of AI on workforce worldwide</c:v>
                </c:pt>
                <c:pt idx="3">
                  <c:v>Artificial intelligence impact on labor productivity in 2035</c:v>
                </c:pt>
                <c:pt idx="4">
                  <c:v>Generative AI adoption in India marketing</c:v>
                </c:pt>
                <c:pt idx="5">
                  <c:v>UAE generative AI adoption</c:v>
                </c:pt>
                <c:pt idx="6">
                  <c:v>Enterprise productivity software market size</c:v>
                </c:pt>
              </c:strCache>
            </c:strRef>
          </c:cat>
          <c:val>
            <c:numRef>
              <c:f>'S10 Statista Benchmarks'!$D$9:$D$15</c:f>
              <c:numCache>
                <c:formatCode>General</c:formatCode>
                <c:ptCount val="7"/>
              </c:numCache>
            </c:numRef>
          </c:val>
        </c:ser>
        <c:gapWidth val="150"/>
        <c:overlap val="0"/>
        <c:axId val="43755826"/>
        <c:axId val="71928280"/>
      </c:barChart>
      <c:catAx>
        <c:axId val="437558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928280"/>
        <c:crosses val="autoZero"/>
        <c:auto val="1"/>
        <c:lblAlgn val="ctr"/>
        <c:lblOffset val="100"/>
        <c:noMultiLvlLbl val="0"/>
      </c:catAx>
      <c:valAx>
        <c:axId val="719282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Percent / index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755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Net AVII uplift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'S12 Sector Value Index'!H5</c:f>
              <c:strCache>
                <c:ptCount val="1"/>
                <c:pt idx="0">
                  <c:v>Net AVII uplift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'S12 Sector Value Index'!$B$6:$B$13</c:f>
              <c:strCache>
                <c:ptCount val="8"/>
                <c:pt idx="0">
                  <c:v>Customer support</c:v>
                </c:pt>
                <c:pt idx="1">
                  <c:v>Routine writing / content</c:v>
                </c:pt>
                <c:pt idx="2">
                  <c:v>Legal / compliance</c:v>
                </c:pt>
                <c:pt idx="3">
                  <c:v>Software engineering</c:v>
                </c:pt>
                <c:pt idx="4">
                  <c:v>Sales / outbound</c:v>
                </c:pt>
                <c:pt idx="5">
                  <c:v>Healthcare documentation</c:v>
                </c:pt>
                <c:pt idx="6">
                  <c:v>Product design / architecture</c:v>
                </c:pt>
                <c:pt idx="7">
                  <c:v>General knowledge work</c:v>
                </c:pt>
              </c:strCache>
            </c:strRef>
          </c:cat>
          <c:val>
            <c:numRef>
              <c:f>'S12 Sector Value Index'!$H$6:$H$13</c:f>
              <c:numCache>
                <c:formatCode>0.0%</c:formatCode>
                <c:ptCount val="8"/>
                <c:pt idx="0">
                  <c:v>0.21</c:v>
                </c:pt>
                <c:pt idx="1">
                  <c:v>0.24</c:v>
                </c:pt>
                <c:pt idx="2">
                  <c:v>0.15</c:v>
                </c:pt>
                <c:pt idx="3">
                  <c:v>0.11</c:v>
                </c:pt>
                <c:pt idx="4">
                  <c:v>0.09</c:v>
                </c:pt>
                <c:pt idx="5">
                  <c:v>0.1</c:v>
                </c:pt>
                <c:pt idx="6">
                  <c:v>0.12</c:v>
                </c:pt>
                <c:pt idx="7">
                  <c:v>0.1</c:v>
                </c:pt>
              </c:numCache>
            </c:numRef>
          </c:val>
        </c:ser>
        <c:gapWidth val="150"/>
        <c:overlap val="0"/>
        <c:axId val="75123812"/>
        <c:axId val="86467768"/>
      </c:barChart>
      <c:catAx>
        <c:axId val="751238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467768"/>
        <c:crosses val="autoZero"/>
        <c:auto val="1"/>
        <c:lblAlgn val="ctr"/>
        <c:lblOffset val="100"/>
        <c:noMultiLvlLbl val="0"/>
      </c:catAx>
      <c:valAx>
        <c:axId val="864677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Net value uplift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123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Most AI value is cost-side, not revenue-side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'S13 Rev Cost Mix'!C5</c:f>
              <c:strCache>
                <c:ptCount val="1"/>
                <c:pt idx="0">
                  <c:v>Revenue share of value</c:v>
                </c:pt>
              </c:strCache>
            </c:strRef>
          </c:tx>
          <c:spPr>
            <a:solidFill>
              <a:srgbClr val="9f423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'S13 Rev Cost Mix'!$B$6:$B$13</c:f>
              <c:strCache>
                <c:ptCount val="8"/>
                <c:pt idx="0">
                  <c:v>Customer support</c:v>
                </c:pt>
                <c:pt idx="1">
                  <c:v>Routine writing / content</c:v>
                </c:pt>
                <c:pt idx="2">
                  <c:v>Legal / compliance</c:v>
                </c:pt>
                <c:pt idx="3">
                  <c:v>Software engineering</c:v>
                </c:pt>
                <c:pt idx="4">
                  <c:v>Sales / outbound</c:v>
                </c:pt>
                <c:pt idx="5">
                  <c:v>Healthcare documentation</c:v>
                </c:pt>
                <c:pt idx="6">
                  <c:v>Product design / architecture</c:v>
                </c:pt>
                <c:pt idx="7">
                  <c:v>General knowledge work</c:v>
                </c:pt>
              </c:strCache>
            </c:strRef>
          </c:cat>
          <c:val>
            <c:numRef>
              <c:f>'S13 Rev Cost Mix'!$C$6:$C$13</c:f>
              <c:numCache>
                <c:formatCode>0.0%</c:formatCode>
                <c:ptCount val="8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0.25</c:v>
                </c:pt>
                <c:pt idx="4">
                  <c:v>0.6</c:v>
                </c:pt>
                <c:pt idx="5">
                  <c:v>0.1</c:v>
                </c:pt>
                <c:pt idx="6">
                  <c:v>0.3</c:v>
                </c:pt>
                <c:pt idx="7">
                  <c:v>0.2</c:v>
                </c:pt>
              </c:numCache>
            </c:numRef>
          </c:val>
        </c:ser>
        <c:ser>
          <c:idx val="1"/>
          <c:order val="1"/>
          <c:tx>
            <c:strRef>
              <c:f>'S13 Rev Cost Mix'!D5</c:f>
              <c:strCache>
                <c:ptCount val="1"/>
                <c:pt idx="0">
                  <c:v>Cost share of value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'S13 Rev Cost Mix'!$B$6:$B$13</c:f>
              <c:strCache>
                <c:ptCount val="8"/>
                <c:pt idx="0">
                  <c:v>Customer support</c:v>
                </c:pt>
                <c:pt idx="1">
                  <c:v>Routine writing / content</c:v>
                </c:pt>
                <c:pt idx="2">
                  <c:v>Legal / compliance</c:v>
                </c:pt>
                <c:pt idx="3">
                  <c:v>Software engineering</c:v>
                </c:pt>
                <c:pt idx="4">
                  <c:v>Sales / outbound</c:v>
                </c:pt>
                <c:pt idx="5">
                  <c:v>Healthcare documentation</c:v>
                </c:pt>
                <c:pt idx="6">
                  <c:v>Product design / architecture</c:v>
                </c:pt>
                <c:pt idx="7">
                  <c:v>General knowledge work</c:v>
                </c:pt>
              </c:strCache>
            </c:strRef>
          </c:cat>
          <c:val>
            <c:numRef>
              <c:f>'S13 Rev Cost Mix'!$D$6:$D$13</c:f>
              <c:numCache>
                <c:formatCode>0.0%</c:formatCode>
                <c:ptCount val="8"/>
                <c:pt idx="0">
                  <c:v>0.8</c:v>
                </c:pt>
                <c:pt idx="1">
                  <c:v>0.7</c:v>
                </c:pt>
                <c:pt idx="2">
                  <c:v>0.65</c:v>
                </c:pt>
                <c:pt idx="3">
                  <c:v>0.7</c:v>
                </c:pt>
                <c:pt idx="4">
                  <c:v>0.35</c:v>
                </c:pt>
                <c:pt idx="5">
                  <c:v>0.6</c:v>
                </c:pt>
                <c:pt idx="6">
                  <c:v>0.55</c:v>
                </c:pt>
                <c:pt idx="7">
                  <c:v>0.7</c:v>
                </c:pt>
              </c:numCache>
            </c:numRef>
          </c:val>
        </c:ser>
        <c:ser>
          <c:idx val="2"/>
          <c:order val="2"/>
          <c:tx>
            <c:strRef>
              <c:f>'S13 Rev Cost Mix'!E5</c:f>
              <c:strCache>
                <c:ptCount val="1"/>
                <c:pt idx="0">
                  <c:v>Quality/risk share</c:v>
                </c:pt>
              </c:strCache>
            </c:strRef>
          </c:tx>
          <c:spPr>
            <a:solidFill>
              <a:srgbClr val="d8aaa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'S13 Rev Cost Mix'!$B$6:$B$13</c:f>
              <c:strCache>
                <c:ptCount val="8"/>
                <c:pt idx="0">
                  <c:v>Customer support</c:v>
                </c:pt>
                <c:pt idx="1">
                  <c:v>Routine writing / content</c:v>
                </c:pt>
                <c:pt idx="2">
                  <c:v>Legal / compliance</c:v>
                </c:pt>
                <c:pt idx="3">
                  <c:v>Software engineering</c:v>
                </c:pt>
                <c:pt idx="4">
                  <c:v>Sales / outbound</c:v>
                </c:pt>
                <c:pt idx="5">
                  <c:v>Healthcare documentation</c:v>
                </c:pt>
                <c:pt idx="6">
                  <c:v>Product design / architecture</c:v>
                </c:pt>
                <c:pt idx="7">
                  <c:v>General knowledge work</c:v>
                </c:pt>
              </c:strCache>
            </c:strRef>
          </c:cat>
          <c:val>
            <c:numRef>
              <c:f>'S13 Rev Cost Mix'!$E$6:$E$13</c:f>
              <c:numCache>
                <c:formatCode>0.0%</c:formatCode>
                <c:ptCount val="8"/>
                <c:pt idx="0">
                  <c:v>0.05</c:v>
                </c:pt>
                <c:pt idx="1">
                  <c:v>0.1</c:v>
                </c:pt>
                <c:pt idx="2">
                  <c:v>0.1</c:v>
                </c:pt>
                <c:pt idx="3">
                  <c:v>0.05</c:v>
                </c:pt>
                <c:pt idx="4">
                  <c:v>0.05</c:v>
                </c:pt>
                <c:pt idx="5">
                  <c:v>0.3</c:v>
                </c:pt>
                <c:pt idx="6">
                  <c:v>0.15</c:v>
                </c:pt>
                <c:pt idx="7">
                  <c:v>0.1</c:v>
                </c:pt>
              </c:numCache>
            </c:numRef>
          </c:val>
        </c:ser>
        <c:gapWidth val="150"/>
        <c:overlap val="100"/>
        <c:axId val="61695949"/>
        <c:axId val="76366559"/>
      </c:barChart>
      <c:catAx>
        <c:axId val="6169594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Share of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366559"/>
        <c:crosses val="autoZero"/>
        <c:auto val="1"/>
        <c:lblAlgn val="ctr"/>
        <c:lblOffset val="100"/>
        <c:noMultiLvlLbl val="0"/>
      </c:catAx>
      <c:valAx>
        <c:axId val="763665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6959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170640</xdr:rowOff>
    </xdr:from>
    <xdr:to>
      <xdr:col>3</xdr:col>
      <xdr:colOff>738360</xdr:colOff>
      <xdr:row>31</xdr:row>
      <xdr:rowOff>1080</xdr:rowOff>
    </xdr:to>
    <xdr:graphicFrame>
      <xdr:nvGraphicFramePr>
        <xdr:cNvPr id="0" name="Chart 1"/>
        <xdr:cNvGraphicFramePr/>
      </xdr:nvGraphicFramePr>
      <xdr:xfrm>
        <a:off x="211320" y="3189960"/>
        <a:ext cx="503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231840</xdr:rowOff>
    </xdr:from>
    <xdr:to>
      <xdr:col>3</xdr:col>
      <xdr:colOff>808920</xdr:colOff>
      <xdr:row>29</xdr:row>
      <xdr:rowOff>65880</xdr:rowOff>
    </xdr:to>
    <xdr:graphicFrame>
      <xdr:nvGraphicFramePr>
        <xdr:cNvPr id="1" name="Chart 1"/>
        <xdr:cNvGraphicFramePr/>
      </xdr:nvGraphicFramePr>
      <xdr:xfrm>
        <a:off x="211320" y="3175200"/>
        <a:ext cx="5038200" cy="286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134640</xdr:rowOff>
    </xdr:from>
    <xdr:to>
      <xdr:col>3</xdr:col>
      <xdr:colOff>738360</xdr:colOff>
      <xdr:row>30</xdr:row>
      <xdr:rowOff>155160</xdr:rowOff>
    </xdr:to>
    <xdr:graphicFrame>
      <xdr:nvGraphicFramePr>
        <xdr:cNvPr id="2" name="Chart 1"/>
        <xdr:cNvGraphicFramePr/>
      </xdr:nvGraphicFramePr>
      <xdr:xfrm>
        <a:off x="211320" y="3182760"/>
        <a:ext cx="503820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37440</xdr:rowOff>
    </xdr:from>
    <xdr:to>
      <xdr:col>3</xdr:col>
      <xdr:colOff>668160</xdr:colOff>
      <xdr:row>32</xdr:row>
      <xdr:rowOff>57960</xdr:rowOff>
    </xdr:to>
    <xdr:graphicFrame>
      <xdr:nvGraphicFramePr>
        <xdr:cNvPr id="3" name="Chart 1"/>
        <xdr:cNvGraphicFramePr/>
      </xdr:nvGraphicFramePr>
      <xdr:xfrm>
        <a:off x="211320" y="3380760"/>
        <a:ext cx="503820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138600</xdr:rowOff>
    </xdr:from>
    <xdr:to>
      <xdr:col>3</xdr:col>
      <xdr:colOff>879480</xdr:colOff>
      <xdr:row>32</xdr:row>
      <xdr:rowOff>65880</xdr:rowOff>
    </xdr:to>
    <xdr:graphicFrame>
      <xdr:nvGraphicFramePr>
        <xdr:cNvPr id="4" name="Chart 1"/>
        <xdr:cNvGraphicFramePr/>
      </xdr:nvGraphicFramePr>
      <xdr:xfrm>
        <a:off x="211320" y="3738960"/>
        <a:ext cx="5038200" cy="287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171000</xdr:rowOff>
    </xdr:from>
    <xdr:to>
      <xdr:col>3</xdr:col>
      <xdr:colOff>668160</xdr:colOff>
      <xdr:row>30</xdr:row>
      <xdr:rowOff>1080</xdr:rowOff>
    </xdr:to>
    <xdr:graphicFrame>
      <xdr:nvGraphicFramePr>
        <xdr:cNvPr id="5" name="Chart 1"/>
        <xdr:cNvGraphicFramePr/>
      </xdr:nvGraphicFramePr>
      <xdr:xfrm>
        <a:off x="211320" y="2999880"/>
        <a:ext cx="503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110520</xdr:rowOff>
    </xdr:from>
    <xdr:to>
      <xdr:col>3</xdr:col>
      <xdr:colOff>1795680</xdr:colOff>
      <xdr:row>29</xdr:row>
      <xdr:rowOff>131040</xdr:rowOff>
    </xdr:to>
    <xdr:graphicFrame>
      <xdr:nvGraphicFramePr>
        <xdr:cNvPr id="6" name="Chart 1"/>
        <xdr:cNvGraphicFramePr/>
      </xdr:nvGraphicFramePr>
      <xdr:xfrm>
        <a:off x="211320" y="3358440"/>
        <a:ext cx="503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47160</xdr:rowOff>
    </xdr:from>
    <xdr:to>
      <xdr:col>5</xdr:col>
      <xdr:colOff>1020600</xdr:colOff>
      <xdr:row>18</xdr:row>
      <xdr:rowOff>156960</xdr:rowOff>
    </xdr:to>
    <xdr:graphicFrame>
      <xdr:nvGraphicFramePr>
        <xdr:cNvPr id="7" name="Chart 1"/>
        <xdr:cNvGraphicFramePr/>
      </xdr:nvGraphicFramePr>
      <xdr:xfrm>
        <a:off x="211320" y="3399840"/>
        <a:ext cx="5038560" cy="285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7</xdr:col>
      <xdr:colOff>8280</xdr:colOff>
      <xdr:row>33</xdr:row>
      <xdr:rowOff>1080</xdr:rowOff>
    </xdr:to>
    <xdr:graphicFrame>
      <xdr:nvGraphicFramePr>
        <xdr:cNvPr id="8" name="Chart 1"/>
        <xdr:cNvGraphicFramePr/>
      </xdr:nvGraphicFramePr>
      <xdr:xfrm>
        <a:off x="211320" y="6229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279360</xdr:rowOff>
    </xdr:from>
    <xdr:to>
      <xdr:col>7</xdr:col>
      <xdr:colOff>1369800</xdr:colOff>
      <xdr:row>22</xdr:row>
      <xdr:rowOff>167760</xdr:rowOff>
    </xdr:to>
    <xdr:graphicFrame>
      <xdr:nvGraphicFramePr>
        <xdr:cNvPr id="9" name="Chart 1"/>
        <xdr:cNvGraphicFramePr/>
      </xdr:nvGraphicFramePr>
      <xdr:xfrm>
        <a:off x="211320" y="3031920"/>
        <a:ext cx="611928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doptionGap" displayName="AdoptionGap" ref="B8:E16" headerRowCount="1" totalsRowCount="0" totalsRowShown="0">
  <autoFilter ref="B8:E16"/>
  <tableColumns count="4">
    <tableColumn id="1" name="Metric"/>
    <tableColumn id="2" name="Share (%)"/>
    <tableColumn id="3" name="Type"/>
    <tableColumn id="4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eterogeneity" displayName="Heterogeneity" ref="B8:G13" headerRowCount="1" totalsRowCount="0" totalsRowShown="0">
  <autoFilter ref="B8:G13"/>
  <tableColumns count="6">
    <tableColumn id="1" name="Function"/>
    <tableColumn id="2" name="Higher-gain segment"/>
    <tableColumn id="3" name="Higher-gain effect (%)"/>
    <tableColumn id="4" name="Lower-gain segment"/>
    <tableColumn id="5" name="Lower-gain effect (%)"/>
    <tableColumn id="6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aborExposure" displayName="LaborExposure" ref="B8:E15" headerRowCount="1" totalsRowCount="0" totalsRowShown="0">
  <autoFilter ref="B8:E15"/>
  <tableColumns count="4">
    <tableColumn id="1" name="Metric"/>
    <tableColumn id="2" name="Share (%)"/>
    <tableColumn id="3" name="Source"/>
    <tableColumn id="4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croTFP" displayName="MacroTFP" ref="B8:G15" headerRowCount="1" totalsRowCount="0" totalsRowShown="0">
  <autoFilter ref="B8:G15"/>
  <tableColumns count="6">
    <tableColumn id="1" name="Source"/>
    <tableColumn id="2" name="Year"/>
    <tableColumn id="3" name="Annual uplift (pp)"/>
    <tableColumn id="4" name="Metric"/>
    <tableColumn id="5" name="Geography"/>
    <tableColumn id="6" name="Cave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icingCases" displayName="PricingCases" ref="B8:G13" headerRowCount="1" totalsRowCount="0" totalsRowShown="0">
  <autoFilter ref="B8:G13"/>
  <tableColumns count="6">
    <tableColumn id="1" name="Company"/>
    <tableColumn id="2" name="Model"/>
    <tableColumn id="3" name="Price point"/>
    <tableColumn id="4" name="Value metric"/>
    <tableColumn id="5" name="Value evidence"/>
    <tableColumn id="6" name="Key cave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icingLadder" displayName="PricingLadder" ref="B8:E13" headerRowCount="1" totalsRowCount="0" totalsRowShown="0">
  <autoFilter ref="B8:E13"/>
  <tableColumns count="4">
    <tableColumn id="1" name="Value uplift zone"/>
    <tableColumn id="2" name="Buyer response"/>
    <tableColumn id="3" name="Pricing model implication"/>
    <tableColumn id="4" name="Vendor strateg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admeSheets" displayName="ReadmeSheets" ref="B8:C18" headerRowCount="1" totalsRowCount="0" totalsRowShown="0">
  <autoFilter ref="B8:C18"/>
  <tableColumns count="2">
    <tableColumn id="1" name="Sheet"/>
    <tableColumn id="2" name="Purpo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ctorBands" displayName="SectorBands" ref="B8:G17" headerRowCount="1" totalsRowCount="0" totalsRowShown="0">
  <autoFilter ref="B8:G17"/>
  <tableColumns count="6">
    <tableColumn id="1" name="Workflow"/>
    <tableColumn id="2" name="Low effect (%)"/>
    <tableColumn id="3" name="Central effect (%)"/>
    <tableColumn id="4" name="High effect (%)"/>
    <tableColumn id="5" name="Confidence"/>
    <tableColumn id="6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Register" displayName="SourceRegister" ref="B8:D30" headerRowCount="1" totalsRowCount="0" totalsRowShown="0">
  <autoFilter ref="B8:D30"/>
  <tableColumns count="3">
    <tableColumn id="1" name="Source"/>
    <tableColumn id="2" name="Use"/>
    <tableColumn id="3" name="URL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StatistaBenchmarks" displayName="StatistaBenchmarks" ref="B8:H15" headerRowCount="1" totalsRowCount="0" totalsRowShown="0">
  <autoFilter ref="B8:H15"/>
  <tableColumns count="7">
    <tableColumn id="1" name="Statista item"/>
    <tableColumn id="2" name="Value"/>
    <tableColumn id="3" name="Unit"/>
    <tableColumn id="4" name="Geography"/>
    <tableColumn id="5" name="Original source"/>
    <tableColumn id="6" name="Statista URL"/>
    <tableColumn id="7" name="Interpret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skExperiments" displayName="TaskExperiments" ref="B8:G16" headerRowCount="1" totalsRowCount="0" totalsRowShown="0">
  <autoFilter ref="B8:G16"/>
  <tableColumns count="6">
    <tableColumn id="1" name="Function"/>
    <tableColumn id="2" name="Study"/>
    <tableColumn id="3" name="Effect (%)"/>
    <tableColumn id="4" name="Metric"/>
    <tableColumn id="5" name="Confidence"/>
    <tableColumn id="6" name="Cavea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ValueCalculator" displayName="ValueCalculator" ref="B8:K14" headerRowCount="1" totalsRowCount="0" totalsRowShown="0">
  <autoFilter ref="B8:K14"/>
  <tableColumns count="10">
    <tableColumn id="1" name="Role / workflow"/>
    <tableColumn id="2" name="Loaded hourly cost ($)"/>
    <tableColumn id="3" name="Addressable hours / week"/>
    <tableColumn id="4" name="Productivity uplift (%)"/>
    <tableColumn id="5" name="Recoverable share (%)"/>
    <tableColumn id="6" name="Gross value / week ($)"/>
    <tableColumn id="7" name="Monthly value ($)"/>
    <tableColumn id="8" name="Target ROI multiple"/>
    <tableColumn id="9" name="Defensible monthly price ($)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2487" TargetMode="External"/><Relationship Id="rId2" Type="http://schemas.openxmlformats.org/officeDocument/2006/relationships/hyperlink" Target="https://www.oecd.org/en/publications/miracle-or-myth-assessing-the-macroeconomic-productivity-gains-from-artificial-intelligence_b524a072-en.html" TargetMode="External"/><Relationship Id="rId3" Type="http://schemas.openxmlformats.org/officeDocument/2006/relationships/hyperlink" Target="https://www.goldmansachs.com/insights/articles/generative-ai-could-raise-global-gdp-by-7-percent" TargetMode="External"/><Relationship Id="rId4" Type="http://schemas.openxmlformats.org/officeDocument/2006/relationships/hyperlink" Target="https://www.mckinsey.com/capabilities/tech-and-ai/our-insights/the-economic-potential-of-generative-ai-the-next-productivity-frontier" TargetMode="External"/><Relationship Id="rId5" Type="http://schemas.openxmlformats.org/officeDocument/2006/relationships/drawing" Target="../drawings/drawing1.xml"/><Relationship Id="rId6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2966" TargetMode="External"/><Relationship Id="rId2" Type="http://schemas.openxmlformats.org/officeDocument/2006/relationships/hyperlink" Target="https://www.stlouisfed.org/open-vault/2025/oct/generative-ai-productivity-future-work" TargetMode="External"/><Relationship Id="rId3" Type="http://schemas.openxmlformats.org/officeDocument/2006/relationships/hyperlink" Target="https://oecdecoscope.blog/2024/11/26/miracle-or-myth-assessing-the-macroeconomic-productivity-gains-from-artificial-intelligence/" TargetMode="External"/><Relationship Id="rId4" Type="http://schemas.openxmlformats.org/officeDocument/2006/relationships/drawing" Target="../drawings/drawing2.xml"/><Relationship Id="rId5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imf.org/en/blogs/articles/2024/01/14/ai-will-transform-the-global-economy-lets-make-sure-it-benefits-humanity" TargetMode="External"/><Relationship Id="rId2" Type="http://schemas.openxmlformats.org/officeDocument/2006/relationships/hyperlink" Target="https://www.goldmansachs.com/insights/articles/generative-ai-could-raise-global-gdp-by-7-percent" TargetMode="External"/><Relationship Id="rId3" Type="http://schemas.openxmlformats.org/officeDocument/2006/relationships/hyperlink" Target="https://www.nber.org/papers/w32966" TargetMode="External"/><Relationship Id="rId4" Type="http://schemas.openxmlformats.org/officeDocument/2006/relationships/drawing" Target="../drawings/drawing3.xml"/><Relationship Id="rId5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1161" TargetMode="External"/><Relationship Id="rId2" Type="http://schemas.openxmlformats.org/officeDocument/2006/relationships/hyperlink" Target="https://www.hbs.edu/faculty/Pages/item.aspx?num=64700" TargetMode="External"/><Relationship Id="rId3" Type="http://schemas.openxmlformats.org/officeDocument/2006/relationships/hyperlink" Target="https://cepr.org/voxeu/columns/productivity-effects-generative-artificial-intelligence" TargetMode="External"/><Relationship Id="rId4" Type="http://schemas.openxmlformats.org/officeDocument/2006/relationships/hyperlink" Target="https://arxiv.org/abs/2302.06590" TargetMode="External"/><Relationship Id="rId5" Type="http://schemas.openxmlformats.org/officeDocument/2006/relationships/hyperlink" Target="https://metr.org/blog/2025-07-10-early-2025-ai-experienced-os-dev-study/" TargetMode="External"/><Relationship Id="rId6" Type="http://schemas.openxmlformats.org/officeDocument/2006/relationships/drawing" Target="../drawings/drawing4.xml"/><Relationship Id="rId7" Type="http://schemas.openxmlformats.org/officeDocument/2006/relationships/table" Target="../tables/table1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1161" TargetMode="External"/><Relationship Id="rId2" Type="http://schemas.openxmlformats.org/officeDocument/2006/relationships/hyperlink" Target="https://www.hbs.edu/faculty/Pages/item.aspx?num=64700" TargetMode="External"/><Relationship Id="rId3" Type="http://schemas.openxmlformats.org/officeDocument/2006/relationships/hyperlink" Target="https://cepr.org/voxeu/columns/productivity-effects-generative-artificial-intelligence" TargetMode="External"/><Relationship Id="rId4" Type="http://schemas.openxmlformats.org/officeDocument/2006/relationships/hyperlink" Target="https://www.library.hbs.edu/working-knowledge/gen-ai-boosts-productivity-but-cant-turn-novices-into-experts" TargetMode="External"/><Relationship Id="rId5" Type="http://schemas.openxmlformats.org/officeDocument/2006/relationships/drawing" Target="../drawings/drawing6.xml"/><Relationship Id="rId6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bcg.com/publications/2025/rethinking-b2b-software-pricing-in-the-era-of-ai" TargetMode="External"/><Relationship Id="rId2" Type="http://schemas.openxmlformats.org/officeDocument/2006/relationships/hyperlink" Target="https://www.bain.com/insights/per-seat-software-pricing-isnt-dead-but-new-models-are-gaining-steam/" TargetMode="External"/><Relationship Id="rId3" Type="http://schemas.openxmlformats.org/officeDocument/2006/relationships/hyperlink" Target="https://a16z.com/newsletter/december-2024-enterprise-newsletter-ai-is-driving-a-shift-towards-outcome-based-pricing/" TargetMode="External"/><Relationship Id="rId4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intercom.com/pricing" TargetMode="External"/><Relationship Id="rId2" Type="http://schemas.openxmlformats.org/officeDocument/2006/relationships/hyperlink" Target="https://www.salesforce.com/agentforce/pricing/" TargetMode="External"/><Relationship Id="rId3" Type="http://schemas.openxmlformats.org/officeDocument/2006/relationships/hyperlink" Target="https://www.microsoft.com/en-us/microsoft-365/blog/2024/10/17/microsoft-365-copilot-drove-up-to-353-roi-for-small-and-medium-businesses-new-study/" TargetMode="External"/><Relationship Id="rId4" Type="http://schemas.openxmlformats.org/officeDocument/2006/relationships/hyperlink" Target="https://docs.github.com/en/copilot/get-started/plans" TargetMode="External"/><Relationship Id="rId5" Type="http://schemas.openxmlformats.org/officeDocument/2006/relationships/hyperlink" Target="https://developers.openai.com/api/docs/pricing" TargetMode="External"/><Relationship Id="rId6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cashmere.io/v/klMFtxkBx" TargetMode="External"/><Relationship Id="rId2" Type="http://schemas.openxmlformats.org/officeDocument/2006/relationships/hyperlink" Target="https://cashmere.io/v/B7qHhEH06" TargetMode="External"/><Relationship Id="rId3" Type="http://schemas.openxmlformats.org/officeDocument/2006/relationships/hyperlink" Target="https://cashmere.io/v/B7qHhEH06" TargetMode="External"/><Relationship Id="rId4" Type="http://schemas.openxmlformats.org/officeDocument/2006/relationships/hyperlink" Target="https://cashmere.io/v/kGsLIAodH" TargetMode="External"/><Relationship Id="rId5" Type="http://schemas.openxmlformats.org/officeDocument/2006/relationships/hyperlink" Target="https://cashmere.io/v/GGNrDNXhF" TargetMode="External"/><Relationship Id="rId6" Type="http://schemas.openxmlformats.org/officeDocument/2006/relationships/hyperlink" Target="https://cashmere.io/v/Z6u4doJKR" TargetMode="External"/><Relationship Id="rId7" Type="http://schemas.openxmlformats.org/officeDocument/2006/relationships/hyperlink" Target="https://cashmere.io/v/xdtU59GOw" TargetMode="External"/><Relationship Id="rId8" Type="http://schemas.openxmlformats.org/officeDocument/2006/relationships/drawing" Target="../drawings/drawing8.xml"/><Relationship Id="rId9" Type="http://schemas.openxmlformats.org/officeDocument/2006/relationships/table" Target="../tables/table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nber.org/papers/w32487" TargetMode="External"/><Relationship Id="rId2" Type="http://schemas.openxmlformats.org/officeDocument/2006/relationships/hyperlink" Target="https://www.nber.org/papers/w32966" TargetMode="External"/><Relationship Id="rId3" Type="http://schemas.openxmlformats.org/officeDocument/2006/relationships/hyperlink" Target="https://www.stlouisfed.org/open-vault/2025/oct/generative-ai-productivity-future-work" TargetMode="External"/><Relationship Id="rId4" Type="http://schemas.openxmlformats.org/officeDocument/2006/relationships/hyperlink" Target="https://www.imf.org/en/blogs/articles/2024/01/14/ai-will-transform-the-global-economy-lets-make-sure-it-benefits-humanity" TargetMode="External"/><Relationship Id="rId5" Type="http://schemas.openxmlformats.org/officeDocument/2006/relationships/hyperlink" Target="https://www.oecd.org/en/publications/miracle-or-myth-assessing-the-macroeconomic-productivity-gains-from-artificial-intelligence_b524a072-en.html" TargetMode="External"/><Relationship Id="rId6" Type="http://schemas.openxmlformats.org/officeDocument/2006/relationships/hyperlink" Target="https://www.pwc.com/gx/en/services/ai/ai-jobs-barometer.html" TargetMode="External"/><Relationship Id="rId7" Type="http://schemas.openxmlformats.org/officeDocument/2006/relationships/hyperlink" Target="https://www.mckinsey.com/capabilities/tech-and-ai/our-insights/the-economic-potential-of-generative-ai-the-next-productivity-frontier" TargetMode="External"/><Relationship Id="rId8" Type="http://schemas.openxmlformats.org/officeDocument/2006/relationships/hyperlink" Target="https://www.goldmansachs.com/insights/articles/generative-ai-could-raise-global-gdp-by-7-percent" TargetMode="External"/><Relationship Id="rId9" Type="http://schemas.openxmlformats.org/officeDocument/2006/relationships/hyperlink" Target="https://www.nber.org/papers/w31161" TargetMode="External"/><Relationship Id="rId10" Type="http://schemas.openxmlformats.org/officeDocument/2006/relationships/hyperlink" Target="https://www.hbs.edu/faculty/Pages/item.aspx?num=64700" TargetMode="External"/><Relationship Id="rId11" Type="http://schemas.openxmlformats.org/officeDocument/2006/relationships/hyperlink" Target="https://arxiv.org/abs/2302.06590" TargetMode="External"/><Relationship Id="rId12" Type="http://schemas.openxmlformats.org/officeDocument/2006/relationships/hyperlink" Target="https://mit-genai.pubpub.org/pub/v5iixksv" TargetMode="External"/><Relationship Id="rId13" Type="http://schemas.openxmlformats.org/officeDocument/2006/relationships/hyperlink" Target="https://metr.org/blog/2025-07-10-early-2025-ai-experienced-os-dev-study/" TargetMode="External"/><Relationship Id="rId14" Type="http://schemas.openxmlformats.org/officeDocument/2006/relationships/hyperlink" Target="https://cepr.org/voxeu/columns/productivity-effects-generative-artificial-intelligence" TargetMode="External"/><Relationship Id="rId15" Type="http://schemas.openxmlformats.org/officeDocument/2006/relationships/hyperlink" Target="https://www.gov.uk/government/publications/microsoft-365-copilot-experiment-cross-government-findings-report" TargetMode="External"/><Relationship Id="rId16" Type="http://schemas.openxmlformats.org/officeDocument/2006/relationships/hyperlink" Target="https://www.intercom.com/pricing" TargetMode="External"/><Relationship Id="rId17" Type="http://schemas.openxmlformats.org/officeDocument/2006/relationships/hyperlink" Target="https://www.salesforce.com/agentforce/pricing/" TargetMode="External"/><Relationship Id="rId18" Type="http://schemas.openxmlformats.org/officeDocument/2006/relationships/hyperlink" Target="https://www.microsoft.com/en-us/microsoft-365/blog/2024/10/17/microsoft-365-copilot-drove-up-to-353-roi-for-small-and-medium-businesses-new-study/" TargetMode="External"/><Relationship Id="rId19" Type="http://schemas.openxmlformats.org/officeDocument/2006/relationships/hyperlink" Target="https://docs.github.com/en/copilot/get-started/plans" TargetMode="External"/><Relationship Id="rId20" Type="http://schemas.openxmlformats.org/officeDocument/2006/relationships/hyperlink" Target="https://a16z.com/newsletter/december-2024-enterprise-newsletter-ai-is-driving-a-shift-towards-outcome-based-pricing/" TargetMode="External"/><Relationship Id="rId21" Type="http://schemas.openxmlformats.org/officeDocument/2006/relationships/hyperlink" Target="https://www.bcg.com/publications/2025/rethinking-b2b-software-pricing-in-the-era-of-ai" TargetMode="External"/><Relationship Id="rId22" Type="http://schemas.openxmlformats.org/officeDocument/2006/relationships/hyperlink" Target="https://www.bain.com/insights/per-seat-software-pricing-isnt-dead-but-new-models-are-gaining-steam/" TargetMode="External"/><Relationship Id="rId23" Type="http://schemas.openxmlformats.org/officeDocument/2006/relationships/hyperlink" Target="https://cashmere.io/v/klMFtxkBx" TargetMode="External"/><Relationship Id="rId24" Type="http://schemas.openxmlformats.org/officeDocument/2006/relationships/hyperlink" Target="https://cashmere.io/v/B7qHhEH06" TargetMode="External"/><Relationship Id="rId25" Type="http://schemas.openxmlformats.org/officeDocument/2006/relationships/hyperlink" Target="https://cashmere.io/v/kGsLIAodH" TargetMode="External"/><Relationship Id="rId26" Type="http://schemas.openxmlformats.org/officeDocument/2006/relationships/hyperlink" Target="https://cashmere.io/v/xdtU59GOw" TargetMode="External"/><Relationship Id="rId27" Type="http://schemas.openxmlformats.org/officeDocument/2006/relationships/table" Target="../tables/table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2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4" t="s">
        <v>3</v>
      </c>
      <c r="C5" s="6" t="s">
        <v>4</v>
      </c>
      <c r="D5" s="6"/>
      <c r="E5" s="6"/>
      <c r="F5" s="6"/>
      <c r="G5" s="6"/>
      <c r="H5" s="6"/>
    </row>
    <row r="6" customFormat="false" ht="15" hidden="false" customHeight="true" outlineLevel="0" collapsed="false">
      <c r="A6" s="2"/>
      <c r="B6" s="2"/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5</v>
      </c>
      <c r="C8" s="7" t="s">
        <v>6</v>
      </c>
      <c r="D8" s="2"/>
      <c r="E8" s="2"/>
      <c r="F8" s="2"/>
      <c r="G8" s="2"/>
      <c r="H8" s="2"/>
    </row>
    <row r="9" customFormat="false" ht="42.75" hidden="false" customHeight="true" outlineLevel="0" collapsed="false">
      <c r="A9" s="2"/>
      <c r="B9" s="8" t="s">
        <v>7</v>
      </c>
      <c r="C9" s="9" t="s">
        <v>8</v>
      </c>
      <c r="D9" s="2"/>
      <c r="E9" s="2"/>
      <c r="F9" s="2"/>
      <c r="G9" s="2"/>
      <c r="H9" s="2"/>
    </row>
    <row r="10" customFormat="false" ht="32.25" hidden="false" customHeight="true" outlineLevel="0" collapsed="false">
      <c r="A10" s="2"/>
      <c r="B10" s="8" t="s">
        <v>9</v>
      </c>
      <c r="C10" s="9" t="s">
        <v>10</v>
      </c>
      <c r="D10" s="2"/>
      <c r="E10" s="2"/>
      <c r="F10" s="2"/>
      <c r="G10" s="2"/>
      <c r="H10" s="2"/>
    </row>
    <row r="11" customFormat="false" ht="32.25" hidden="false" customHeight="true" outlineLevel="0" collapsed="false">
      <c r="A11" s="2"/>
      <c r="B11" s="8" t="s">
        <v>11</v>
      </c>
      <c r="C11" s="9" t="s">
        <v>12</v>
      </c>
      <c r="D11" s="2"/>
      <c r="E11" s="2"/>
      <c r="F11" s="2"/>
      <c r="G11" s="2"/>
      <c r="H11" s="2"/>
    </row>
    <row r="12" customFormat="false" ht="32.25" hidden="false" customHeight="true" outlineLevel="0" collapsed="false">
      <c r="A12" s="2"/>
      <c r="B12" s="8" t="s">
        <v>13</v>
      </c>
      <c r="C12" s="9" t="s">
        <v>14</v>
      </c>
      <c r="D12" s="2"/>
      <c r="E12" s="2"/>
      <c r="F12" s="2"/>
      <c r="G12" s="2"/>
      <c r="H12" s="2"/>
    </row>
    <row r="13" customFormat="false" ht="32.25" hidden="false" customHeight="true" outlineLevel="0" collapsed="false">
      <c r="A13" s="2"/>
      <c r="B13" s="9" t="s">
        <v>15</v>
      </c>
      <c r="C13" s="9" t="s">
        <v>16</v>
      </c>
      <c r="D13" s="2"/>
      <c r="E13" s="2"/>
      <c r="F13" s="2"/>
      <c r="G13" s="2"/>
      <c r="H13" s="2"/>
    </row>
    <row r="14" customFormat="false" ht="32.25" hidden="false" customHeight="true" outlineLevel="0" collapsed="false">
      <c r="A14" s="2"/>
      <c r="B14" s="8" t="s">
        <v>17</v>
      </c>
      <c r="C14" s="9" t="s">
        <v>18</v>
      </c>
      <c r="D14" s="2"/>
      <c r="E14" s="2"/>
      <c r="F14" s="2"/>
      <c r="G14" s="2"/>
      <c r="H14" s="2"/>
    </row>
    <row r="15" customFormat="false" ht="21.75" hidden="false" customHeight="true" outlineLevel="0" collapsed="false">
      <c r="A15" s="2"/>
      <c r="B15" s="8" t="s">
        <v>19</v>
      </c>
      <c r="C15" s="9" t="s">
        <v>20</v>
      </c>
      <c r="D15" s="2"/>
      <c r="E15" s="2"/>
      <c r="F15" s="2"/>
      <c r="G15" s="2"/>
      <c r="H15" s="2"/>
    </row>
    <row r="16" customFormat="false" ht="32.25" hidden="false" customHeight="true" outlineLevel="0" collapsed="false">
      <c r="A16" s="2"/>
      <c r="B16" s="8" t="s">
        <v>21</v>
      </c>
      <c r="C16" s="9" t="s">
        <v>22</v>
      </c>
      <c r="D16" s="2"/>
      <c r="E16" s="2"/>
      <c r="F16" s="2"/>
      <c r="G16" s="2"/>
      <c r="H16" s="2"/>
    </row>
    <row r="17" customFormat="false" ht="32.25" hidden="false" customHeight="true" outlineLevel="0" collapsed="false">
      <c r="A17" s="2"/>
      <c r="B17" s="8" t="s">
        <v>23</v>
      </c>
      <c r="C17" s="9" t="s">
        <v>24</v>
      </c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10" t="s">
        <v>25</v>
      </c>
      <c r="C18" s="10" t="s">
        <v>26</v>
      </c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8" t="s">
        <v>27</v>
      </c>
      <c r="C19" s="9" t="s">
        <v>28</v>
      </c>
      <c r="D19" s="2"/>
      <c r="E19" s="2"/>
      <c r="F19" s="2"/>
      <c r="G19" s="2"/>
      <c r="H19" s="2"/>
    </row>
    <row r="21" customFormat="false" ht="15" hidden="false" customHeight="true" outlineLevel="0" collapsed="false">
      <c r="B21" s="11" t="s">
        <v>29</v>
      </c>
    </row>
    <row r="22" customFormat="false" ht="27.75" hidden="false" customHeight="true" outlineLevel="0" collapsed="false">
      <c r="B22" s="12" t="s">
        <v>30</v>
      </c>
      <c r="C22" s="12"/>
      <c r="D22" s="12"/>
      <c r="E22" s="12"/>
      <c r="F22" s="12"/>
      <c r="G22" s="12"/>
      <c r="H22" s="12"/>
    </row>
  </sheetData>
  <mergeCells count="3">
    <mergeCell ref="C3:H4"/>
    <mergeCell ref="C5:H6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19"/>
    <col collapsed="false" customWidth="true" hidden="false" outlineLevel="0" max="6" min="6" style="1" width="12"/>
    <col collapsed="false" customWidth="true" hidden="false" outlineLevel="0" max="7" min="7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31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32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26.25" hidden="false" customHeight="true" outlineLevel="0" collapsed="false">
      <c r="A8" s="2"/>
      <c r="B8" s="7" t="s">
        <v>33</v>
      </c>
      <c r="C8" s="7" t="s">
        <v>34</v>
      </c>
      <c r="D8" s="7" t="s">
        <v>35</v>
      </c>
      <c r="E8" s="7" t="s">
        <v>36</v>
      </c>
      <c r="F8" s="7" t="s">
        <v>37</v>
      </c>
      <c r="G8" s="7" t="s">
        <v>38</v>
      </c>
      <c r="H8" s="2"/>
    </row>
    <row r="9" customFormat="false" ht="15" hidden="false" customHeight="true" outlineLevel="0" collapsed="false">
      <c r="A9" s="2"/>
      <c r="B9" s="8" t="s">
        <v>39</v>
      </c>
      <c r="C9" s="8" t="n">
        <v>2024</v>
      </c>
      <c r="D9" s="13" t="n">
        <v>0.07</v>
      </c>
      <c r="E9" s="8" t="s">
        <v>40</v>
      </c>
      <c r="F9" s="8" t="s">
        <v>41</v>
      </c>
      <c r="G9" s="9" t="s">
        <v>42</v>
      </c>
      <c r="H9" s="2"/>
    </row>
    <row r="10" customFormat="false" ht="15" hidden="false" customHeight="true" outlineLevel="0" collapsed="false">
      <c r="A10" s="2"/>
      <c r="B10" s="8" t="s">
        <v>43</v>
      </c>
      <c r="C10" s="8" t="n">
        <v>2025</v>
      </c>
      <c r="D10" s="13" t="n">
        <v>0.15</v>
      </c>
      <c r="E10" s="8" t="s">
        <v>40</v>
      </c>
      <c r="F10" s="8" t="s">
        <v>41</v>
      </c>
      <c r="G10" s="9" t="s">
        <v>44</v>
      </c>
      <c r="H10" s="2"/>
    </row>
    <row r="11" customFormat="false" ht="15" hidden="false" customHeight="true" outlineLevel="0" collapsed="false">
      <c r="A11" s="2"/>
      <c r="B11" s="8" t="s">
        <v>45</v>
      </c>
      <c r="C11" s="8" t="n">
        <v>2024</v>
      </c>
      <c r="D11" s="13" t="n">
        <v>0.25</v>
      </c>
      <c r="E11" s="8" t="s">
        <v>40</v>
      </c>
      <c r="F11" s="8" t="s">
        <v>41</v>
      </c>
      <c r="G11" s="9" t="s">
        <v>46</v>
      </c>
      <c r="H11" s="2"/>
    </row>
    <row r="12" customFormat="false" ht="15" hidden="false" customHeight="true" outlineLevel="0" collapsed="false">
      <c r="A12" s="2"/>
      <c r="B12" s="8" t="s">
        <v>47</v>
      </c>
      <c r="C12" s="8" t="n">
        <v>2024</v>
      </c>
      <c r="D12" s="13" t="n">
        <v>0.6</v>
      </c>
      <c r="E12" s="8" t="s">
        <v>40</v>
      </c>
      <c r="F12" s="8" t="s">
        <v>41</v>
      </c>
      <c r="G12" s="9" t="s">
        <v>48</v>
      </c>
      <c r="H12" s="2"/>
    </row>
    <row r="13" customFormat="false" ht="15" hidden="false" customHeight="true" outlineLevel="0" collapsed="false">
      <c r="A13" s="2"/>
      <c r="B13" s="8" t="s">
        <v>49</v>
      </c>
      <c r="C13" s="8" t="n">
        <v>2023</v>
      </c>
      <c r="D13" s="13" t="n">
        <v>0.1</v>
      </c>
      <c r="E13" s="8" t="s">
        <v>50</v>
      </c>
      <c r="F13" s="8" t="s">
        <v>51</v>
      </c>
      <c r="G13" s="9" t="s">
        <v>52</v>
      </c>
      <c r="H13" s="2"/>
    </row>
    <row r="14" customFormat="false" ht="15" hidden="false" customHeight="true" outlineLevel="0" collapsed="false">
      <c r="A14" s="2"/>
      <c r="B14" s="8" t="s">
        <v>53</v>
      </c>
      <c r="C14" s="8" t="n">
        <v>2023</v>
      </c>
      <c r="D14" s="13" t="n">
        <v>0.6</v>
      </c>
      <c r="E14" s="8" t="s">
        <v>50</v>
      </c>
      <c r="F14" s="8" t="s">
        <v>51</v>
      </c>
      <c r="G14" s="9" t="s">
        <v>54</v>
      </c>
      <c r="H14" s="2"/>
    </row>
    <row r="15" customFormat="false" ht="15" hidden="false" customHeight="true" outlineLevel="0" collapsed="false">
      <c r="A15" s="2"/>
      <c r="B15" s="8" t="s">
        <v>55</v>
      </c>
      <c r="C15" s="8" t="n">
        <v>2023</v>
      </c>
      <c r="D15" s="13" t="n">
        <v>1.5</v>
      </c>
      <c r="E15" s="8" t="s">
        <v>50</v>
      </c>
      <c r="F15" s="8" t="s">
        <v>56</v>
      </c>
      <c r="G15" s="9" t="s">
        <v>57</v>
      </c>
      <c r="H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4" t="s">
        <v>58</v>
      </c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7" t="s">
        <v>33</v>
      </c>
      <c r="C19" s="7" t="s">
        <v>59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8" t="s">
        <v>60</v>
      </c>
      <c r="C20" s="14" t="s">
        <v>61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8" t="s">
        <v>62</v>
      </c>
      <c r="C21" s="14" t="s">
        <v>63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55</v>
      </c>
      <c r="C22" s="14" t="s">
        <v>64</v>
      </c>
      <c r="D22" s="2"/>
      <c r="E22" s="2"/>
      <c r="F22" s="2"/>
      <c r="G22" s="2"/>
      <c r="H22" s="2"/>
    </row>
    <row r="23" customFormat="false" ht="15" hidden="false" customHeight="true" outlineLevel="0" collapsed="false">
      <c r="A23" s="2"/>
      <c r="B23" s="9" t="s">
        <v>65</v>
      </c>
      <c r="C23" s="14" t="s">
        <v>66</v>
      </c>
      <c r="D23" s="2"/>
      <c r="E23" s="2"/>
      <c r="F23" s="2"/>
      <c r="G23" s="2"/>
      <c r="H23" s="2"/>
    </row>
  </sheetData>
  <mergeCells count="1">
    <mergeCell ref="C3:H4"/>
  </mergeCells>
  <hyperlinks>
    <hyperlink ref="C20" r:id="rId1" display="https://www.nber.org/papers/w32487"/>
    <hyperlink ref="C21" r:id="rId2" display="https://www.oecd.org/en/publications/miracle-or-myth-assessing-the-macroeconomic-productivity-gains-from-artificial-intelligence_b524a072-en.html"/>
    <hyperlink ref="C22" r:id="rId3" display="https://www.goldmansachs.com/insights/articles/generative-ai-could-raise-global-gdp-by-7-percent"/>
    <hyperlink ref="C23" r:id="rId4" display="https://www.mckinsey.com/capabilities/tech-and-ai/our-insights/the-economic-potential-of-generative-ai-the-next-productivity-fronti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  <tableParts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34"/>
    <col collapsed="false" customWidth="true" hidden="false" outlineLevel="0" max="4" min="4" style="1" width="19"/>
    <col collapsed="false" customWidth="true" hidden="false" outlineLevel="0" max="5" min="5" style="1" width="21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67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68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36</v>
      </c>
      <c r="C8" s="7" t="s">
        <v>69</v>
      </c>
      <c r="D8" s="7" t="s">
        <v>70</v>
      </c>
      <c r="E8" s="7" t="s">
        <v>33</v>
      </c>
      <c r="F8" s="2"/>
      <c r="G8" s="2"/>
      <c r="H8" s="2"/>
    </row>
    <row r="9" customFormat="false" ht="15" hidden="false" customHeight="true" outlineLevel="0" collapsed="false">
      <c r="A9" s="2"/>
      <c r="B9" s="9" t="s">
        <v>71</v>
      </c>
      <c r="C9" s="15" t="n">
        <v>39.4</v>
      </c>
      <c r="D9" s="8" t="s">
        <v>72</v>
      </c>
      <c r="E9" s="8" t="s">
        <v>73</v>
      </c>
      <c r="F9" s="2"/>
      <c r="G9" s="2"/>
      <c r="H9" s="2"/>
    </row>
    <row r="10" customFormat="false" ht="21.75" hidden="false" customHeight="true" outlineLevel="0" collapsed="false">
      <c r="A10" s="2"/>
      <c r="B10" s="9" t="s">
        <v>74</v>
      </c>
      <c r="C10" s="15" t="n">
        <v>23</v>
      </c>
      <c r="D10" s="8" t="s">
        <v>75</v>
      </c>
      <c r="E10" s="8" t="s">
        <v>73</v>
      </c>
      <c r="F10" s="2"/>
      <c r="G10" s="2"/>
      <c r="H10" s="2"/>
    </row>
    <row r="11" customFormat="false" ht="15" hidden="false" customHeight="true" outlineLevel="0" collapsed="false">
      <c r="A11" s="2"/>
      <c r="B11" s="9" t="s">
        <v>76</v>
      </c>
      <c r="C11" s="15" t="n">
        <v>9</v>
      </c>
      <c r="D11" s="8" t="s">
        <v>77</v>
      </c>
      <c r="E11" s="8" t="s">
        <v>73</v>
      </c>
      <c r="F11" s="2"/>
      <c r="G11" s="2"/>
      <c r="H11" s="2"/>
    </row>
    <row r="12" customFormat="false" ht="21.75" hidden="false" customHeight="true" outlineLevel="0" collapsed="false">
      <c r="A12" s="2"/>
      <c r="B12" s="9" t="s">
        <v>78</v>
      </c>
      <c r="C12" s="15" t="n">
        <v>1</v>
      </c>
      <c r="D12" s="8" t="s">
        <v>79</v>
      </c>
      <c r="E12" s="8" t="s">
        <v>73</v>
      </c>
      <c r="F12" s="2"/>
      <c r="G12" s="2"/>
      <c r="H12" s="2"/>
    </row>
    <row r="13" customFormat="false" ht="21.75" hidden="false" customHeight="true" outlineLevel="0" collapsed="false">
      <c r="A13" s="2"/>
      <c r="B13" s="9" t="s">
        <v>80</v>
      </c>
      <c r="C13" s="15" t="n">
        <v>7</v>
      </c>
      <c r="D13" s="8" t="s">
        <v>79</v>
      </c>
      <c r="E13" s="8" t="s">
        <v>73</v>
      </c>
      <c r="F13" s="2"/>
      <c r="G13" s="2"/>
      <c r="H13" s="2"/>
    </row>
    <row r="14" customFormat="false" ht="15" hidden="false" customHeight="true" outlineLevel="0" collapsed="false">
      <c r="A14" s="2"/>
      <c r="B14" s="8" t="s">
        <v>81</v>
      </c>
      <c r="C14" s="15" t="n">
        <v>5.4</v>
      </c>
      <c r="D14" s="8" t="s">
        <v>82</v>
      </c>
      <c r="E14" s="8" t="s">
        <v>83</v>
      </c>
      <c r="F14" s="2"/>
      <c r="G14" s="2"/>
      <c r="H14" s="2"/>
    </row>
    <row r="15" customFormat="false" ht="21.75" hidden="false" customHeight="true" outlineLevel="0" collapsed="false">
      <c r="A15" s="2"/>
      <c r="B15" s="9" t="s">
        <v>84</v>
      </c>
      <c r="C15" s="15" t="n">
        <v>5</v>
      </c>
      <c r="D15" s="8" t="s">
        <v>85</v>
      </c>
      <c r="E15" s="8" t="s">
        <v>86</v>
      </c>
      <c r="F15" s="2"/>
      <c r="G15" s="2"/>
      <c r="H15" s="2"/>
    </row>
    <row r="16" customFormat="false" ht="21.75" hidden="false" customHeight="true" outlineLevel="0" collapsed="false">
      <c r="A16" s="2"/>
      <c r="B16" s="9" t="s">
        <v>87</v>
      </c>
      <c r="C16" s="15" t="n">
        <v>15</v>
      </c>
      <c r="D16" s="8" t="s">
        <v>85</v>
      </c>
      <c r="E16" s="8" t="s">
        <v>86</v>
      </c>
      <c r="F16" s="2"/>
      <c r="G16" s="2"/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4" t="s">
        <v>58</v>
      </c>
      <c r="C19" s="2"/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7" t="s">
        <v>33</v>
      </c>
      <c r="C20" s="7" t="s">
        <v>59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8" t="s">
        <v>88</v>
      </c>
      <c r="C21" s="14" t="s">
        <v>89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9" t="s">
        <v>90</v>
      </c>
      <c r="C22" s="14" t="s">
        <v>91</v>
      </c>
      <c r="D22" s="2"/>
      <c r="E22" s="2"/>
      <c r="F22" s="2"/>
      <c r="G22" s="2"/>
      <c r="H22" s="2"/>
    </row>
    <row r="23" customFormat="false" ht="15" hidden="false" customHeight="true" outlineLevel="0" collapsed="false">
      <c r="A23" s="2"/>
      <c r="B23" s="8" t="s">
        <v>92</v>
      </c>
      <c r="C23" s="14" t="s">
        <v>93</v>
      </c>
      <c r="D23" s="2"/>
      <c r="E23" s="2"/>
      <c r="F23" s="2"/>
      <c r="G23" s="2"/>
      <c r="H23" s="2"/>
    </row>
  </sheetData>
  <mergeCells count="1">
    <mergeCell ref="C3:H4"/>
  </mergeCells>
  <hyperlinks>
    <hyperlink ref="C21" r:id="rId1" display="https://www.nber.org/papers/w32966"/>
    <hyperlink ref="C22" r:id="rId2" display="https://www.stlouisfed.org/open-vault/2025/oct/generative-ai-productivity-future-work"/>
    <hyperlink ref="C23" r:id="rId3" display="https://oecdecoscope.blog/2024/11/26/miracle-or-myth-assessing-the-macroeconomic-productivity-gains-from-artificial-intelligenc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  <tableParts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34"/>
    <col collapsed="false" customWidth="true" hidden="false" outlineLevel="0" max="4" min="4" style="1" width="21"/>
    <col collapsed="false" customWidth="true" hidden="false" outlineLevel="0" max="5" min="5" style="1" width="1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94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95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36</v>
      </c>
      <c r="C8" s="7" t="s">
        <v>69</v>
      </c>
      <c r="D8" s="7" t="s">
        <v>33</v>
      </c>
      <c r="E8" s="7" t="s">
        <v>70</v>
      </c>
      <c r="F8" s="2"/>
      <c r="G8" s="2"/>
      <c r="H8" s="2"/>
    </row>
    <row r="9" customFormat="false" ht="15" hidden="false" customHeight="true" outlineLevel="0" collapsed="false">
      <c r="A9" s="2"/>
      <c r="B9" s="9" t="s">
        <v>96</v>
      </c>
      <c r="C9" s="15" t="n">
        <v>40</v>
      </c>
      <c r="D9" s="8" t="s">
        <v>97</v>
      </c>
      <c r="E9" s="8" t="s">
        <v>98</v>
      </c>
      <c r="F9" s="2"/>
      <c r="G9" s="2"/>
      <c r="H9" s="2"/>
    </row>
    <row r="10" customFormat="false" ht="15" hidden="false" customHeight="true" outlineLevel="0" collapsed="false">
      <c r="A10" s="2"/>
      <c r="B10" s="9" t="s">
        <v>99</v>
      </c>
      <c r="C10" s="15" t="n">
        <v>60</v>
      </c>
      <c r="D10" s="8" t="s">
        <v>97</v>
      </c>
      <c r="E10" s="8" t="s">
        <v>98</v>
      </c>
      <c r="F10" s="2"/>
      <c r="G10" s="2"/>
      <c r="H10" s="2"/>
    </row>
    <row r="11" customFormat="false" ht="15" hidden="false" customHeight="true" outlineLevel="0" collapsed="false">
      <c r="A11" s="2"/>
      <c r="B11" s="9" t="s">
        <v>100</v>
      </c>
      <c r="C11" s="15" t="n">
        <v>40</v>
      </c>
      <c r="D11" s="8" t="s">
        <v>97</v>
      </c>
      <c r="E11" s="8" t="s">
        <v>98</v>
      </c>
      <c r="F11" s="2"/>
      <c r="G11" s="2"/>
      <c r="H11" s="2"/>
    </row>
    <row r="12" customFormat="false" ht="15" hidden="false" customHeight="true" outlineLevel="0" collapsed="false">
      <c r="A12" s="2"/>
      <c r="B12" s="9" t="s">
        <v>101</v>
      </c>
      <c r="C12" s="15" t="n">
        <v>26</v>
      </c>
      <c r="D12" s="8" t="s">
        <v>97</v>
      </c>
      <c r="E12" s="8" t="s">
        <v>98</v>
      </c>
      <c r="F12" s="2"/>
      <c r="G12" s="2"/>
      <c r="H12" s="2"/>
    </row>
    <row r="13" customFormat="false" ht="21.75" hidden="false" customHeight="true" outlineLevel="0" collapsed="false">
      <c r="A13" s="2"/>
      <c r="B13" s="9" t="s">
        <v>102</v>
      </c>
      <c r="C13" s="15" t="n">
        <v>67</v>
      </c>
      <c r="D13" s="8" t="s">
        <v>55</v>
      </c>
      <c r="E13" s="8" t="s">
        <v>98</v>
      </c>
      <c r="F13" s="2"/>
      <c r="G13" s="2"/>
      <c r="H13" s="2"/>
    </row>
    <row r="14" customFormat="false" ht="15" hidden="false" customHeight="true" outlineLevel="0" collapsed="false">
      <c r="A14" s="2"/>
      <c r="B14" s="9" t="s">
        <v>103</v>
      </c>
      <c r="C14" s="15" t="n">
        <v>25</v>
      </c>
      <c r="D14" s="8" t="s">
        <v>55</v>
      </c>
      <c r="E14" s="8" t="s">
        <v>104</v>
      </c>
      <c r="F14" s="2"/>
      <c r="G14" s="2"/>
      <c r="H14" s="2"/>
    </row>
    <row r="15" customFormat="false" ht="21.75" hidden="false" customHeight="true" outlineLevel="0" collapsed="false">
      <c r="A15" s="2"/>
      <c r="B15" s="9" t="s">
        <v>105</v>
      </c>
      <c r="C15" s="15" t="n">
        <v>7</v>
      </c>
      <c r="D15" s="8" t="s">
        <v>73</v>
      </c>
      <c r="E15" s="8" t="s">
        <v>106</v>
      </c>
      <c r="F15" s="2"/>
      <c r="G15" s="2"/>
      <c r="H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4" t="s">
        <v>58</v>
      </c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7" t="s">
        <v>33</v>
      </c>
      <c r="C19" s="7" t="s">
        <v>59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9" t="s">
        <v>107</v>
      </c>
      <c r="C20" s="14" t="s">
        <v>108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9" t="s">
        <v>109</v>
      </c>
      <c r="C21" s="14" t="s">
        <v>64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88</v>
      </c>
      <c r="C22" s="14" t="s">
        <v>89</v>
      </c>
      <c r="D22" s="2"/>
      <c r="E22" s="2"/>
      <c r="F22" s="2"/>
      <c r="G22" s="2"/>
      <c r="H22" s="2"/>
    </row>
  </sheetData>
  <mergeCells count="1">
    <mergeCell ref="C3:H4"/>
  </mergeCells>
  <hyperlinks>
    <hyperlink ref="C20" r:id="rId1" display="https://www.imf.org/en/blogs/articles/2024/01/14/ai-will-transform-the-global-economy-lets-make-sure-it-benefits-humanity"/>
    <hyperlink ref="C21" r:id="rId2" display="https://www.goldmansachs.com/insights/articles/generative-ai-could-raise-global-gdp-by-7-percent"/>
    <hyperlink ref="C22" r:id="rId3" display="https://www.nber.org/papers/w3296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  <tableParts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9"/>
    <col collapsed="false" customWidth="true" hidden="false" outlineLevel="0" max="7" min="7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110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111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112</v>
      </c>
      <c r="C8" s="7" t="s">
        <v>113</v>
      </c>
      <c r="D8" s="7" t="s">
        <v>114</v>
      </c>
      <c r="E8" s="7" t="s">
        <v>36</v>
      </c>
      <c r="F8" s="7" t="s">
        <v>115</v>
      </c>
      <c r="G8" s="7" t="s">
        <v>38</v>
      </c>
      <c r="H8" s="2"/>
    </row>
    <row r="9" customFormat="false" ht="15" hidden="false" customHeight="true" outlineLevel="0" collapsed="false">
      <c r="A9" s="2"/>
      <c r="B9" s="8" t="s">
        <v>116</v>
      </c>
      <c r="C9" s="9" t="s">
        <v>117</v>
      </c>
      <c r="D9" s="15" t="n">
        <v>13.8</v>
      </c>
      <c r="E9" s="8" t="s">
        <v>118</v>
      </c>
      <c r="F9" s="8" t="s">
        <v>119</v>
      </c>
      <c r="G9" s="9" t="s">
        <v>120</v>
      </c>
      <c r="H9" s="2"/>
    </row>
    <row r="10" customFormat="false" ht="21.75" hidden="false" customHeight="true" outlineLevel="0" collapsed="false">
      <c r="A10" s="2"/>
      <c r="B10" s="8" t="s">
        <v>121</v>
      </c>
      <c r="C10" s="9" t="s">
        <v>122</v>
      </c>
      <c r="D10" s="15" t="n">
        <v>25.1</v>
      </c>
      <c r="E10" s="8" t="s">
        <v>123</v>
      </c>
      <c r="F10" s="8" t="s">
        <v>119</v>
      </c>
      <c r="G10" s="9" t="s">
        <v>124</v>
      </c>
      <c r="H10" s="2"/>
    </row>
    <row r="11" customFormat="false" ht="15" hidden="false" customHeight="true" outlineLevel="0" collapsed="false">
      <c r="A11" s="2"/>
      <c r="B11" s="8" t="s">
        <v>125</v>
      </c>
      <c r="C11" s="8" t="s">
        <v>126</v>
      </c>
      <c r="D11" s="15" t="n">
        <v>40</v>
      </c>
      <c r="E11" s="8" t="s">
        <v>127</v>
      </c>
      <c r="F11" s="8" t="s">
        <v>119</v>
      </c>
      <c r="G11" s="8" t="s">
        <v>128</v>
      </c>
      <c r="H11" s="2"/>
    </row>
    <row r="12" customFormat="false" ht="15" hidden="false" customHeight="true" outlineLevel="0" collapsed="false">
      <c r="A12" s="2"/>
      <c r="B12" s="8" t="s">
        <v>129</v>
      </c>
      <c r="C12" s="8" t="s">
        <v>130</v>
      </c>
      <c r="D12" s="15" t="n">
        <v>55.8</v>
      </c>
      <c r="E12" s="8" t="s">
        <v>131</v>
      </c>
      <c r="F12" s="8" t="s">
        <v>132</v>
      </c>
      <c r="G12" s="9" t="s">
        <v>133</v>
      </c>
      <c r="H12" s="2"/>
    </row>
    <row r="13" customFormat="false" ht="15" hidden="false" customHeight="true" outlineLevel="0" collapsed="false">
      <c r="A13" s="2"/>
      <c r="B13" s="8" t="s">
        <v>134</v>
      </c>
      <c r="C13" s="9" t="s">
        <v>135</v>
      </c>
      <c r="D13" s="15" t="n">
        <v>22</v>
      </c>
      <c r="E13" s="8" t="s">
        <v>136</v>
      </c>
      <c r="F13" s="8" t="s">
        <v>137</v>
      </c>
      <c r="G13" s="9" t="s">
        <v>138</v>
      </c>
      <c r="H13" s="2"/>
    </row>
    <row r="14" customFormat="false" ht="15" hidden="false" customHeight="true" outlineLevel="0" collapsed="false">
      <c r="A14" s="2"/>
      <c r="B14" s="8" t="s">
        <v>139</v>
      </c>
      <c r="C14" s="9" t="s">
        <v>140</v>
      </c>
      <c r="D14" s="15" t="n">
        <v>31</v>
      </c>
      <c r="E14" s="8" t="s">
        <v>141</v>
      </c>
      <c r="F14" s="8" t="s">
        <v>119</v>
      </c>
      <c r="G14" s="8" t="s">
        <v>142</v>
      </c>
      <c r="H14" s="2"/>
    </row>
    <row r="15" customFormat="false" ht="15" hidden="false" customHeight="true" outlineLevel="0" collapsed="false">
      <c r="A15" s="2"/>
      <c r="B15" s="8" t="s">
        <v>143</v>
      </c>
      <c r="C15" s="8" t="s">
        <v>144</v>
      </c>
      <c r="D15" s="15" t="n">
        <v>5.4</v>
      </c>
      <c r="E15" s="8" t="s">
        <v>145</v>
      </c>
      <c r="F15" s="8" t="s">
        <v>146</v>
      </c>
      <c r="G15" s="8" t="s">
        <v>147</v>
      </c>
      <c r="H15" s="2"/>
    </row>
    <row r="16" customFormat="false" ht="15" hidden="false" customHeight="true" outlineLevel="0" collapsed="false">
      <c r="A16" s="2"/>
      <c r="B16" s="8" t="s">
        <v>148</v>
      </c>
      <c r="C16" s="8" t="s">
        <v>149</v>
      </c>
      <c r="D16" s="15" t="n">
        <v>-19</v>
      </c>
      <c r="E16" s="8" t="s">
        <v>150</v>
      </c>
      <c r="F16" s="8" t="s">
        <v>151</v>
      </c>
      <c r="G16" s="9" t="s">
        <v>152</v>
      </c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4" t="s">
        <v>58</v>
      </c>
      <c r="C19" s="2"/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7" t="s">
        <v>33</v>
      </c>
      <c r="C20" s="7" t="s">
        <v>59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9" t="s">
        <v>153</v>
      </c>
      <c r="C21" s="14" t="s">
        <v>154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155</v>
      </c>
      <c r="C22" s="14" t="s">
        <v>156</v>
      </c>
      <c r="D22" s="2"/>
      <c r="E22" s="2"/>
      <c r="F22" s="2"/>
      <c r="G22" s="2"/>
      <c r="H22" s="2"/>
    </row>
    <row r="23" customFormat="false" ht="15" hidden="false" customHeight="true" outlineLevel="0" collapsed="false">
      <c r="A23" s="2"/>
      <c r="B23" s="8" t="s">
        <v>157</v>
      </c>
      <c r="C23" s="14" t="s">
        <v>158</v>
      </c>
      <c r="D23" s="2"/>
      <c r="E23" s="2"/>
      <c r="F23" s="2"/>
      <c r="G23" s="2"/>
      <c r="H23" s="2"/>
    </row>
    <row r="24" customFormat="false" ht="15" hidden="false" customHeight="true" outlineLevel="0" collapsed="false">
      <c r="A24" s="2"/>
      <c r="B24" s="9" t="s">
        <v>159</v>
      </c>
      <c r="C24" s="14" t="s">
        <v>160</v>
      </c>
      <c r="D24" s="2"/>
      <c r="E24" s="2"/>
      <c r="F24" s="2"/>
      <c r="G24" s="2"/>
      <c r="H24" s="2"/>
    </row>
    <row r="25" customFormat="false" ht="15" hidden="false" customHeight="true" outlineLevel="0" collapsed="false">
      <c r="A25" s="2"/>
      <c r="B25" s="8" t="s">
        <v>161</v>
      </c>
      <c r="C25" s="14" t="s">
        <v>162</v>
      </c>
      <c r="D25" s="2"/>
      <c r="E25" s="2"/>
      <c r="F25" s="2"/>
      <c r="G25" s="2"/>
      <c r="H25" s="2"/>
    </row>
  </sheetData>
  <mergeCells count="1">
    <mergeCell ref="C3:H4"/>
  </mergeCells>
  <hyperlinks>
    <hyperlink ref="C21" r:id="rId1" display="https://www.nber.org/papers/w31161"/>
    <hyperlink ref="C22" r:id="rId2" display="https://www.hbs.edu/faculty/Pages/item.aspx?num=64700"/>
    <hyperlink ref="C23" r:id="rId3" display="https://cepr.org/voxeu/columns/productivity-effects-generative-artificial-intelligence"/>
    <hyperlink ref="C24" r:id="rId4" display="https://arxiv.org/abs/2302.06590"/>
    <hyperlink ref="C25" r:id="rId5" display="https://metr.org/blog/2025-07-10-early-2025-ai-experienced-os-dev-study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  <tableParts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17"/>
    <col collapsed="false" customWidth="true" hidden="false" outlineLevel="0" max="6" min="6" style="1" width="15"/>
    <col collapsed="false" customWidth="true" hidden="false" outlineLevel="0" max="7" min="7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163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164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165</v>
      </c>
      <c r="C8" s="7" t="s">
        <v>166</v>
      </c>
      <c r="D8" s="7" t="s">
        <v>167</v>
      </c>
      <c r="E8" s="7" t="s">
        <v>168</v>
      </c>
      <c r="F8" s="7" t="s">
        <v>115</v>
      </c>
      <c r="G8" s="7" t="s">
        <v>169</v>
      </c>
      <c r="H8" s="2"/>
    </row>
    <row r="9" customFormat="false" ht="21.75" hidden="false" customHeight="true" outlineLevel="0" collapsed="false">
      <c r="A9" s="2"/>
      <c r="B9" s="9" t="s">
        <v>170</v>
      </c>
      <c r="C9" s="15" t="n">
        <v>20</v>
      </c>
      <c r="D9" s="15" t="n">
        <v>40</v>
      </c>
      <c r="E9" s="15" t="n">
        <v>65</v>
      </c>
      <c r="F9" s="8" t="s">
        <v>137</v>
      </c>
      <c r="G9" s="9" t="s">
        <v>171</v>
      </c>
      <c r="H9" s="2"/>
    </row>
    <row r="10" customFormat="false" ht="21.75" hidden="false" customHeight="true" outlineLevel="0" collapsed="false">
      <c r="A10" s="2"/>
      <c r="B10" s="9" t="s">
        <v>172</v>
      </c>
      <c r="C10" s="15" t="n">
        <v>15</v>
      </c>
      <c r="D10" s="15" t="n">
        <v>25</v>
      </c>
      <c r="E10" s="15" t="n">
        <v>40</v>
      </c>
      <c r="F10" s="8" t="s">
        <v>137</v>
      </c>
      <c r="G10" s="9" t="s">
        <v>173</v>
      </c>
      <c r="H10" s="2"/>
    </row>
    <row r="11" customFormat="false" ht="15" hidden="false" customHeight="true" outlineLevel="0" collapsed="false">
      <c r="A11" s="2"/>
      <c r="B11" s="9" t="s">
        <v>174</v>
      </c>
      <c r="C11" s="15" t="n">
        <v>15</v>
      </c>
      <c r="D11" s="15" t="n">
        <v>35</v>
      </c>
      <c r="E11" s="15" t="n">
        <v>46</v>
      </c>
      <c r="F11" s="8" t="s">
        <v>119</v>
      </c>
      <c r="G11" s="8" t="s">
        <v>175</v>
      </c>
      <c r="H11" s="2"/>
    </row>
    <row r="12" customFormat="false" ht="15" hidden="false" customHeight="true" outlineLevel="0" collapsed="false">
      <c r="A12" s="2"/>
      <c r="B12" s="9" t="s">
        <v>176</v>
      </c>
      <c r="C12" s="15" t="n">
        <v>0</v>
      </c>
      <c r="D12" s="15" t="n">
        <v>0</v>
      </c>
      <c r="E12" s="15" t="n">
        <v>5</v>
      </c>
      <c r="F12" s="8" t="s">
        <v>137</v>
      </c>
      <c r="G12" s="8" t="s">
        <v>177</v>
      </c>
      <c r="H12" s="2"/>
    </row>
    <row r="13" customFormat="false" ht="15" hidden="false" customHeight="true" outlineLevel="0" collapsed="false">
      <c r="A13" s="2"/>
      <c r="B13" s="9" t="s">
        <v>178</v>
      </c>
      <c r="C13" s="15" t="n">
        <v>10</v>
      </c>
      <c r="D13" s="15" t="n">
        <v>22</v>
      </c>
      <c r="E13" s="15" t="n">
        <v>56</v>
      </c>
      <c r="F13" s="8" t="s">
        <v>179</v>
      </c>
      <c r="G13" s="9" t="s">
        <v>180</v>
      </c>
      <c r="H13" s="2"/>
    </row>
    <row r="14" customFormat="false" ht="21.75" hidden="false" customHeight="true" outlineLevel="0" collapsed="false">
      <c r="A14" s="2"/>
      <c r="B14" s="9" t="s">
        <v>181</v>
      </c>
      <c r="C14" s="15" t="n">
        <v>-19</v>
      </c>
      <c r="D14" s="15" t="n">
        <v>0</v>
      </c>
      <c r="E14" s="15" t="n">
        <v>10</v>
      </c>
      <c r="F14" s="8" t="s">
        <v>151</v>
      </c>
      <c r="G14" s="8" t="s">
        <v>182</v>
      </c>
      <c r="H14" s="2"/>
    </row>
    <row r="15" customFormat="false" ht="21.75" hidden="false" customHeight="true" outlineLevel="0" collapsed="false">
      <c r="A15" s="2"/>
      <c r="B15" s="9" t="s">
        <v>183</v>
      </c>
      <c r="C15" s="15" t="n">
        <v>0</v>
      </c>
      <c r="D15" s="15" t="n">
        <v>8</v>
      </c>
      <c r="E15" s="15" t="n">
        <v>16</v>
      </c>
      <c r="F15" s="8" t="s">
        <v>137</v>
      </c>
      <c r="G15" s="9" t="s">
        <v>184</v>
      </c>
      <c r="H15" s="2"/>
    </row>
    <row r="16" customFormat="false" ht="15" hidden="false" customHeight="true" outlineLevel="0" collapsed="false">
      <c r="A16" s="2"/>
      <c r="B16" s="8" t="s">
        <v>185</v>
      </c>
      <c r="C16" s="15" t="n">
        <v>10</v>
      </c>
      <c r="D16" s="15" t="n">
        <v>31</v>
      </c>
      <c r="E16" s="15" t="n">
        <v>40</v>
      </c>
      <c r="F16" s="8" t="s">
        <v>137</v>
      </c>
      <c r="G16" s="8" t="s">
        <v>186</v>
      </c>
      <c r="H16" s="2"/>
    </row>
    <row r="17" customFormat="false" ht="15" hidden="false" customHeight="true" outlineLevel="0" collapsed="false">
      <c r="A17" s="2"/>
      <c r="B17" s="9" t="s">
        <v>187</v>
      </c>
      <c r="C17" s="15" t="n">
        <v>50</v>
      </c>
      <c r="D17" s="15" t="n">
        <v>200</v>
      </c>
      <c r="E17" s="15" t="n">
        <v>300</v>
      </c>
      <c r="F17" s="8" t="s">
        <v>146</v>
      </c>
      <c r="G17" s="9" t="s">
        <v>188</v>
      </c>
      <c r="H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4" t="s">
        <v>58</v>
      </c>
      <c r="C20" s="2"/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7" t="s">
        <v>33</v>
      </c>
      <c r="C21" s="7" t="s">
        <v>59</v>
      </c>
      <c r="D21" s="2"/>
      <c r="E21" s="2"/>
      <c r="F21" s="2"/>
      <c r="G21" s="2"/>
      <c r="H21" s="2"/>
    </row>
    <row r="22" customFormat="false" ht="21.75" hidden="false" customHeight="true" outlineLevel="0" collapsed="false">
      <c r="A22" s="2"/>
      <c r="B22" s="9" t="s">
        <v>189</v>
      </c>
      <c r="C22" s="9" t="s">
        <v>190</v>
      </c>
      <c r="D22" s="2"/>
      <c r="E22" s="2"/>
      <c r="F22" s="2"/>
      <c r="G22" s="2"/>
      <c r="H22" s="2"/>
    </row>
  </sheetData>
  <mergeCells count="1">
    <mergeCell ref="C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26"/>
    <col collapsed="false" customWidth="true" hidden="false" outlineLevel="0" max="6" min="6" style="1" width="23"/>
    <col collapsed="false" customWidth="true" hidden="false" outlineLevel="0" max="7" min="7" style="1" width="21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191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192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26.25" hidden="false" customHeight="true" outlineLevel="0" collapsed="false">
      <c r="A8" s="2"/>
      <c r="B8" s="7" t="s">
        <v>112</v>
      </c>
      <c r="C8" s="7" t="s">
        <v>193</v>
      </c>
      <c r="D8" s="7" t="s">
        <v>194</v>
      </c>
      <c r="E8" s="7" t="s">
        <v>195</v>
      </c>
      <c r="F8" s="7" t="s">
        <v>196</v>
      </c>
      <c r="G8" s="7" t="s">
        <v>33</v>
      </c>
      <c r="H8" s="2"/>
    </row>
    <row r="9" customFormat="false" ht="15" hidden="false" customHeight="true" outlineLevel="0" collapsed="false">
      <c r="A9" s="2"/>
      <c r="B9" s="8" t="s">
        <v>116</v>
      </c>
      <c r="C9" s="8" t="s">
        <v>197</v>
      </c>
      <c r="D9" s="8" t="n">
        <v>34</v>
      </c>
      <c r="E9" s="9" t="s">
        <v>198</v>
      </c>
      <c r="F9" s="8" t="n">
        <v>0</v>
      </c>
      <c r="G9" s="8" t="s">
        <v>199</v>
      </c>
      <c r="H9" s="2"/>
    </row>
    <row r="10" customFormat="false" ht="15" hidden="false" customHeight="true" outlineLevel="0" collapsed="false">
      <c r="A10" s="2"/>
      <c r="B10" s="9" t="s">
        <v>200</v>
      </c>
      <c r="C10" s="8" t="s">
        <v>201</v>
      </c>
      <c r="D10" s="8" t="n">
        <v>46</v>
      </c>
      <c r="E10" s="8" t="s">
        <v>202</v>
      </c>
      <c r="F10" s="8" t="n">
        <v>0</v>
      </c>
      <c r="G10" s="8" t="s">
        <v>199</v>
      </c>
      <c r="H10" s="2"/>
    </row>
    <row r="11" customFormat="false" ht="15" hidden="false" customHeight="true" outlineLevel="0" collapsed="false">
      <c r="A11" s="2"/>
      <c r="B11" s="8" t="s">
        <v>121</v>
      </c>
      <c r="C11" s="9" t="s">
        <v>203</v>
      </c>
      <c r="D11" s="8" t="n">
        <v>43</v>
      </c>
      <c r="E11" s="9" t="s">
        <v>204</v>
      </c>
      <c r="F11" s="8" t="n">
        <v>17</v>
      </c>
      <c r="G11" s="8" t="s">
        <v>205</v>
      </c>
      <c r="H11" s="2"/>
    </row>
    <row r="12" customFormat="false" ht="15" hidden="false" customHeight="true" outlineLevel="0" collapsed="false">
      <c r="A12" s="2"/>
      <c r="B12" s="8" t="s">
        <v>125</v>
      </c>
      <c r="C12" s="8" t="s">
        <v>206</v>
      </c>
      <c r="D12" s="8" t="s">
        <v>207</v>
      </c>
      <c r="E12" s="8" t="s">
        <v>208</v>
      </c>
      <c r="F12" s="8" t="s">
        <v>209</v>
      </c>
      <c r="G12" s="8" t="s">
        <v>157</v>
      </c>
      <c r="H12" s="2"/>
    </row>
    <row r="13" customFormat="false" ht="15" hidden="false" customHeight="true" outlineLevel="0" collapsed="false">
      <c r="A13" s="2"/>
      <c r="B13" s="8" t="s">
        <v>210</v>
      </c>
      <c r="C13" s="8" t="s">
        <v>211</v>
      </c>
      <c r="D13" s="8" t="s">
        <v>212</v>
      </c>
      <c r="E13" s="8" t="s">
        <v>213</v>
      </c>
      <c r="F13" s="8" t="s">
        <v>214</v>
      </c>
      <c r="G13" s="8" t="s">
        <v>215</v>
      </c>
      <c r="H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true" outlineLevel="0" collapsed="false">
      <c r="A16" s="2"/>
      <c r="B16" s="4" t="s">
        <v>58</v>
      </c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7" t="s">
        <v>33</v>
      </c>
      <c r="C17" s="7" t="s">
        <v>59</v>
      </c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9" t="s">
        <v>153</v>
      </c>
      <c r="C18" s="14" t="s">
        <v>154</v>
      </c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8" t="s">
        <v>155</v>
      </c>
      <c r="C19" s="14" t="s">
        <v>156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8" t="s">
        <v>157</v>
      </c>
      <c r="C20" s="14" t="s">
        <v>158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9" t="s">
        <v>216</v>
      </c>
      <c r="C21" s="14" t="s">
        <v>217</v>
      </c>
      <c r="D21" s="2"/>
      <c r="E21" s="2"/>
      <c r="F21" s="2"/>
      <c r="G21" s="2"/>
      <c r="H21" s="2"/>
    </row>
  </sheetData>
  <mergeCells count="1">
    <mergeCell ref="C3:H4"/>
  </mergeCells>
  <hyperlinks>
    <hyperlink ref="C18" r:id="rId1" display="https://www.nber.org/papers/w31161"/>
    <hyperlink ref="C19" r:id="rId2" display="https://www.hbs.edu/faculty/Pages/item.aspx?num=64700"/>
    <hyperlink ref="C20" r:id="rId3" display="https://cepr.org/voxeu/columns/productivity-effects-generative-artificial-intelligence"/>
    <hyperlink ref="C21" r:id="rId4" display="https://www.library.hbs.edu/working-knowledge/gen-ai-boosts-productivity-but-cant-turn-novices-into-exper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  <tableParts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5" min="3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218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219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220</v>
      </c>
      <c r="C8" s="7" t="s">
        <v>221</v>
      </c>
      <c r="D8" s="7" t="s">
        <v>222</v>
      </c>
      <c r="E8" s="7" t="s">
        <v>223</v>
      </c>
      <c r="F8" s="2"/>
      <c r="G8" s="2"/>
      <c r="H8" s="2"/>
    </row>
    <row r="9" customFormat="false" ht="15" hidden="false" customHeight="true" outlineLevel="0" collapsed="false">
      <c r="A9" s="2"/>
      <c r="B9" s="8" t="s">
        <v>224</v>
      </c>
      <c r="C9" s="9" t="s">
        <v>225</v>
      </c>
      <c r="D9" s="9" t="s">
        <v>226</v>
      </c>
      <c r="E9" s="8" t="s">
        <v>227</v>
      </c>
      <c r="F9" s="2"/>
      <c r="G9" s="2"/>
      <c r="H9" s="2"/>
    </row>
    <row r="10" customFormat="false" ht="15" hidden="false" customHeight="true" outlineLevel="0" collapsed="false">
      <c r="A10" s="2"/>
      <c r="B10" s="8" t="s">
        <v>228</v>
      </c>
      <c r="C10" s="9" t="s">
        <v>229</v>
      </c>
      <c r="D10" s="9" t="s">
        <v>230</v>
      </c>
      <c r="E10" s="9" t="s">
        <v>231</v>
      </c>
      <c r="F10" s="2"/>
      <c r="G10" s="2"/>
      <c r="H10" s="2"/>
    </row>
    <row r="11" customFormat="false" ht="15" hidden="false" customHeight="true" outlineLevel="0" collapsed="false">
      <c r="A11" s="2"/>
      <c r="B11" s="8" t="s">
        <v>232</v>
      </c>
      <c r="C11" s="9" t="s">
        <v>233</v>
      </c>
      <c r="D11" s="9" t="s">
        <v>234</v>
      </c>
      <c r="E11" s="9" t="s">
        <v>235</v>
      </c>
      <c r="F11" s="2"/>
      <c r="G11" s="2"/>
      <c r="H11" s="2"/>
    </row>
    <row r="12" customFormat="false" ht="15" hidden="false" customHeight="true" outlineLevel="0" collapsed="false">
      <c r="A12" s="2"/>
      <c r="B12" s="8" t="s">
        <v>236</v>
      </c>
      <c r="C12" s="9" t="s">
        <v>237</v>
      </c>
      <c r="D12" s="9" t="s">
        <v>238</v>
      </c>
      <c r="E12" s="9" t="s">
        <v>239</v>
      </c>
      <c r="F12" s="2"/>
      <c r="G12" s="2"/>
      <c r="H12" s="2"/>
    </row>
    <row r="13" customFormat="false" ht="15" hidden="false" customHeight="true" outlineLevel="0" collapsed="false">
      <c r="A13" s="2"/>
      <c r="B13" s="8" t="s">
        <v>240</v>
      </c>
      <c r="C13" s="9" t="s">
        <v>241</v>
      </c>
      <c r="D13" s="9" t="s">
        <v>242</v>
      </c>
      <c r="E13" s="9" t="s">
        <v>243</v>
      </c>
      <c r="F13" s="2"/>
      <c r="G13" s="2"/>
      <c r="H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true" outlineLevel="0" collapsed="false">
      <c r="A16" s="2"/>
      <c r="B16" s="4" t="s">
        <v>58</v>
      </c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7" t="s">
        <v>33</v>
      </c>
      <c r="C17" s="7" t="s">
        <v>59</v>
      </c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9" t="s">
        <v>244</v>
      </c>
      <c r="C18" s="14" t="s">
        <v>245</v>
      </c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9" t="s">
        <v>246</v>
      </c>
      <c r="C19" s="14" t="s">
        <v>247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8" t="s">
        <v>248</v>
      </c>
      <c r="C20" s="14" t="s">
        <v>249</v>
      </c>
      <c r="D20" s="2"/>
      <c r="E20" s="2"/>
      <c r="F20" s="2"/>
      <c r="G20" s="2"/>
      <c r="H20" s="2"/>
    </row>
  </sheetData>
  <mergeCells count="1">
    <mergeCell ref="C3:H4"/>
  </mergeCells>
  <hyperlinks>
    <hyperlink ref="C18" r:id="rId1" display="https://www.bcg.com/publications/2025/rethinking-b2b-software-pricing-in-the-era-of-ai"/>
    <hyperlink ref="C19" r:id="rId2" display="https://www.bain.com/insights/per-seat-software-pricing-isnt-dead-but-new-models-are-gaining-steam/"/>
    <hyperlink ref="C20" r:id="rId3" display="https://a16z.com/newsletter/december-2024-enterprise-newsletter-ai-is-driving-a-shift-towards-outcome-based-prici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"/>
    <col collapsed="false" customWidth="true" hidden="false" outlineLevel="0" max="7" min="3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250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251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252</v>
      </c>
      <c r="C8" s="7" t="s">
        <v>253</v>
      </c>
      <c r="D8" s="7" t="s">
        <v>254</v>
      </c>
      <c r="E8" s="7" t="s">
        <v>255</v>
      </c>
      <c r="F8" s="7" t="s">
        <v>256</v>
      </c>
      <c r="G8" s="7" t="s">
        <v>257</v>
      </c>
      <c r="H8" s="2"/>
    </row>
    <row r="9" customFormat="false" ht="21.75" hidden="false" customHeight="true" outlineLevel="0" collapsed="false">
      <c r="A9" s="2"/>
      <c r="B9" s="8" t="s">
        <v>258</v>
      </c>
      <c r="C9" s="8" t="s">
        <v>259</v>
      </c>
      <c r="D9" s="8" t="s">
        <v>260</v>
      </c>
      <c r="E9" s="9" t="s">
        <v>261</v>
      </c>
      <c r="F9" s="9" t="s">
        <v>262</v>
      </c>
      <c r="G9" s="9" t="s">
        <v>263</v>
      </c>
      <c r="H9" s="2"/>
    </row>
    <row r="10" customFormat="false" ht="21.75" hidden="false" customHeight="true" outlineLevel="0" collapsed="false">
      <c r="A10" s="2"/>
      <c r="B10" s="9" t="s">
        <v>264</v>
      </c>
      <c r="C10" s="8" t="s">
        <v>265</v>
      </c>
      <c r="D10" s="9" t="s">
        <v>266</v>
      </c>
      <c r="E10" s="9" t="s">
        <v>267</v>
      </c>
      <c r="F10" s="9" t="s">
        <v>268</v>
      </c>
      <c r="G10" s="9" t="s">
        <v>269</v>
      </c>
      <c r="H10" s="2"/>
    </row>
    <row r="11" customFormat="false" ht="15" hidden="false" customHeight="true" outlineLevel="0" collapsed="false">
      <c r="A11" s="2"/>
      <c r="B11" s="9" t="s">
        <v>270</v>
      </c>
      <c r="C11" s="8" t="s">
        <v>271</v>
      </c>
      <c r="D11" s="9" t="s">
        <v>272</v>
      </c>
      <c r="E11" s="8" t="s">
        <v>273</v>
      </c>
      <c r="F11" s="9" t="s">
        <v>274</v>
      </c>
      <c r="G11" s="9" t="s">
        <v>275</v>
      </c>
      <c r="H11" s="2"/>
    </row>
    <row r="12" customFormat="false" ht="21.75" hidden="false" customHeight="true" outlineLevel="0" collapsed="false">
      <c r="A12" s="2"/>
      <c r="B12" s="8" t="s">
        <v>276</v>
      </c>
      <c r="C12" s="8" t="s">
        <v>277</v>
      </c>
      <c r="D12" s="9" t="s">
        <v>278</v>
      </c>
      <c r="E12" s="9" t="s">
        <v>279</v>
      </c>
      <c r="F12" s="9" t="s">
        <v>280</v>
      </c>
      <c r="G12" s="9" t="s">
        <v>281</v>
      </c>
      <c r="H12" s="2"/>
    </row>
    <row r="13" customFormat="false" ht="21.75" hidden="false" customHeight="true" outlineLevel="0" collapsed="false">
      <c r="A13" s="2"/>
      <c r="B13" s="8" t="s">
        <v>282</v>
      </c>
      <c r="C13" s="8" t="s">
        <v>283</v>
      </c>
      <c r="D13" s="9" t="s">
        <v>284</v>
      </c>
      <c r="E13" s="8" t="s">
        <v>285</v>
      </c>
      <c r="F13" s="9" t="s">
        <v>286</v>
      </c>
      <c r="G13" s="9" t="s">
        <v>287</v>
      </c>
      <c r="H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true" outlineLevel="0" collapsed="false">
      <c r="A16" s="2"/>
      <c r="B16" s="4" t="s">
        <v>58</v>
      </c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"/>
      <c r="B17" s="7" t="s">
        <v>33</v>
      </c>
      <c r="C17" s="7" t="s">
        <v>59</v>
      </c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8" t="s">
        <v>288</v>
      </c>
      <c r="C18" s="14" t="s">
        <v>289</v>
      </c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9" t="s">
        <v>290</v>
      </c>
      <c r="C19" s="14" t="s">
        <v>291</v>
      </c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9" t="s">
        <v>292</v>
      </c>
      <c r="C20" s="14" t="s">
        <v>293</v>
      </c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8" t="s">
        <v>294</v>
      </c>
      <c r="C21" s="14" t="s">
        <v>295</v>
      </c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296</v>
      </c>
      <c r="C22" s="14" t="s">
        <v>297</v>
      </c>
      <c r="D22" s="2"/>
      <c r="E22" s="2"/>
      <c r="F22" s="2"/>
      <c r="G22" s="2"/>
      <c r="H22" s="2"/>
    </row>
  </sheetData>
  <mergeCells count="1">
    <mergeCell ref="C3:H4"/>
  </mergeCells>
  <hyperlinks>
    <hyperlink ref="C18" r:id="rId1" display="https://www.intercom.com/pricing"/>
    <hyperlink ref="C19" r:id="rId2" display="https://www.salesforce.com/agentforce/pricing/"/>
    <hyperlink ref="C20" r:id="rId3" display="https://www.microsoft.com/en-us/microsoft-365/blog/2024/10/17/microsoft-365-copilot-drove-up-to-353-roi-for-small-and-medium-businesses-new-study/"/>
    <hyperlink ref="C21" r:id="rId4" display="https://docs.github.com/en/copilot/get-started/plans"/>
    <hyperlink ref="C22" r:id="rId5" display="https://developers.openai.com/api/docs/pric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9"/>
    <col collapsed="false" customWidth="true" hidden="false" outlineLevel="0" max="3" min="3" style="1" width="17"/>
    <col collapsed="false" customWidth="true" hidden="false" outlineLevel="0" max="4" min="4" style="1" width="26"/>
    <col collapsed="false" customWidth="true" hidden="false" outlineLevel="0" max="5" min="5" style="1" width="25"/>
    <col collapsed="false" customWidth="true" hidden="false" outlineLevel="0" max="6" min="6" style="1" width="23"/>
    <col collapsed="false" customWidth="true" hidden="false" outlineLevel="0" max="7" min="7" style="1" width="24"/>
    <col collapsed="false" customWidth="true" hidden="false" outlineLevel="0" max="8" min="8" style="1" width="19"/>
    <col collapsed="false" customWidth="true" hidden="false" outlineLevel="0" max="9" min="9" style="1" width="21"/>
    <col collapsed="false" customWidth="true" hidden="false" outlineLevel="0" max="10" min="10" style="1" width="30"/>
    <col collapsed="false" customWidth="true" hidden="false" outlineLevel="0" max="11" min="11" style="1" width="3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2"/>
      <c r="B2" s="3" t="s">
        <v>298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2"/>
      <c r="B3" s="4" t="s">
        <v>1</v>
      </c>
      <c r="C3" s="5" t="s">
        <v>299</v>
      </c>
      <c r="D3" s="5"/>
      <c r="E3" s="5"/>
      <c r="F3" s="5"/>
      <c r="G3" s="5"/>
      <c r="H3" s="5"/>
      <c r="I3" s="2"/>
      <c r="J3" s="2"/>
      <c r="K3" s="2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  <c r="I4" s="2"/>
      <c r="J4" s="2"/>
      <c r="K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customFormat="false" ht="39" hidden="false" customHeight="true" outlineLevel="0" collapsed="false">
      <c r="A8" s="2"/>
      <c r="B8" s="7" t="s">
        <v>300</v>
      </c>
      <c r="C8" s="7" t="s">
        <v>301</v>
      </c>
      <c r="D8" s="7" t="s">
        <v>302</v>
      </c>
      <c r="E8" s="7" t="s">
        <v>303</v>
      </c>
      <c r="F8" s="7" t="s">
        <v>304</v>
      </c>
      <c r="G8" s="7" t="s">
        <v>305</v>
      </c>
      <c r="H8" s="7" t="s">
        <v>306</v>
      </c>
      <c r="I8" s="7" t="s">
        <v>307</v>
      </c>
      <c r="J8" s="7" t="s">
        <v>308</v>
      </c>
      <c r="K8" s="7" t="s">
        <v>169</v>
      </c>
    </row>
    <row r="9" customFormat="false" ht="21.75" hidden="false" customHeight="true" outlineLevel="0" collapsed="false">
      <c r="A9" s="2"/>
      <c r="B9" s="9" t="s">
        <v>309</v>
      </c>
      <c r="C9" s="16" t="n">
        <v>80</v>
      </c>
      <c r="D9" s="17" t="n">
        <v>10</v>
      </c>
      <c r="E9" s="18" t="n">
        <v>0.25</v>
      </c>
      <c r="F9" s="18" t="n">
        <v>0.5</v>
      </c>
      <c r="G9" s="16" t="n">
        <f aca="false">C9*D9*E9</f>
        <v>200</v>
      </c>
      <c r="H9" s="16" t="n">
        <f aca="false">F9*4.33</f>
        <v>2.165</v>
      </c>
      <c r="I9" s="17" t="n">
        <v>10</v>
      </c>
      <c r="J9" s="16" t="n">
        <f aca="false">G9/H9</f>
        <v>92.378752886836</v>
      </c>
      <c r="K9" s="9" t="s">
        <v>310</v>
      </c>
    </row>
    <row r="10" customFormat="false" ht="15" hidden="false" customHeight="true" outlineLevel="0" collapsed="false">
      <c r="A10" s="2"/>
      <c r="B10" s="9" t="s">
        <v>311</v>
      </c>
      <c r="C10" s="16" t="n">
        <v>35</v>
      </c>
      <c r="D10" s="17" t="n">
        <v>30</v>
      </c>
      <c r="E10" s="18" t="n">
        <v>0.35</v>
      </c>
      <c r="F10" s="18" t="n">
        <v>0.7</v>
      </c>
      <c r="G10" s="16" t="n">
        <f aca="false">C10*D10*E10</f>
        <v>367.5</v>
      </c>
      <c r="H10" s="16" t="n">
        <f aca="false">F10*4.33</f>
        <v>3.031</v>
      </c>
      <c r="I10" s="17" t="n">
        <v>10</v>
      </c>
      <c r="J10" s="16" t="n">
        <f aca="false">G10/H10</f>
        <v>121.247113163972</v>
      </c>
      <c r="K10" s="9" t="s">
        <v>312</v>
      </c>
    </row>
    <row r="11" customFormat="false" ht="21.75" hidden="false" customHeight="true" outlineLevel="0" collapsed="false">
      <c r="A11" s="2"/>
      <c r="B11" s="9" t="s">
        <v>313</v>
      </c>
      <c r="C11" s="16" t="n">
        <v>120</v>
      </c>
      <c r="D11" s="17" t="n">
        <v>20</v>
      </c>
      <c r="E11" s="18" t="n">
        <v>0</v>
      </c>
      <c r="F11" s="18" t="n">
        <v>0.3</v>
      </c>
      <c r="G11" s="16" t="n">
        <f aca="false">C11*D11*E11</f>
        <v>0</v>
      </c>
      <c r="H11" s="16" t="n">
        <f aca="false">F11*4.33</f>
        <v>1.299</v>
      </c>
      <c r="I11" s="17" t="n">
        <v>10</v>
      </c>
      <c r="J11" s="16" t="n">
        <f aca="false">G11/H11</f>
        <v>0</v>
      </c>
      <c r="K11" s="9" t="s">
        <v>314</v>
      </c>
    </row>
    <row r="12" customFormat="false" ht="21.75" hidden="false" customHeight="true" outlineLevel="0" collapsed="false">
      <c r="A12" s="2"/>
      <c r="B12" s="9" t="s">
        <v>315</v>
      </c>
      <c r="C12" s="16" t="n">
        <v>70</v>
      </c>
      <c r="D12" s="17" t="n">
        <v>20</v>
      </c>
      <c r="E12" s="18" t="n">
        <v>0.22</v>
      </c>
      <c r="F12" s="18" t="n">
        <v>0.5</v>
      </c>
      <c r="G12" s="16" t="n">
        <f aca="false">C12*D12*E12</f>
        <v>308</v>
      </c>
      <c r="H12" s="16" t="n">
        <f aca="false">F12*4.33</f>
        <v>2.165</v>
      </c>
      <c r="I12" s="17" t="n">
        <v>10</v>
      </c>
      <c r="J12" s="16" t="n">
        <f aca="false">G12/H12</f>
        <v>142.263279445727</v>
      </c>
      <c r="K12" s="9" t="s">
        <v>316</v>
      </c>
    </row>
    <row r="13" customFormat="false" ht="15" hidden="false" customHeight="true" outlineLevel="0" collapsed="false">
      <c r="A13" s="2"/>
      <c r="B13" s="9" t="s">
        <v>187</v>
      </c>
      <c r="C13" s="16" t="n">
        <v>150</v>
      </c>
      <c r="D13" s="17" t="n">
        <v>8</v>
      </c>
      <c r="E13" s="18" t="n">
        <v>0.5</v>
      </c>
      <c r="F13" s="18" t="n">
        <v>0.5</v>
      </c>
      <c r="G13" s="16" t="n">
        <f aca="false">C13*D13*E13</f>
        <v>600</v>
      </c>
      <c r="H13" s="16" t="n">
        <f aca="false">F13*4.33</f>
        <v>2.165</v>
      </c>
      <c r="I13" s="17" t="n">
        <v>10</v>
      </c>
      <c r="J13" s="16" t="n">
        <f aca="false">G13/H13</f>
        <v>277.136258660508</v>
      </c>
      <c r="K13" s="9" t="s">
        <v>317</v>
      </c>
    </row>
    <row r="14" customFormat="false" ht="15" hidden="false" customHeight="true" outlineLevel="0" collapsed="false">
      <c r="A14" s="2"/>
      <c r="B14" s="9" t="s">
        <v>318</v>
      </c>
      <c r="C14" s="16" t="n">
        <v>75</v>
      </c>
      <c r="D14" s="17" t="n">
        <v>12</v>
      </c>
      <c r="E14" s="18" t="n">
        <v>0.3</v>
      </c>
      <c r="F14" s="18" t="n">
        <v>0.5</v>
      </c>
      <c r="G14" s="16" t="n">
        <f aca="false">C14*D14*E14</f>
        <v>270</v>
      </c>
      <c r="H14" s="16" t="n">
        <f aca="false">F14*4.33</f>
        <v>2.165</v>
      </c>
      <c r="I14" s="17" t="n">
        <v>10</v>
      </c>
      <c r="J14" s="16" t="n">
        <f aca="false">G14/H14</f>
        <v>124.711316397229</v>
      </c>
      <c r="K14" s="9" t="s">
        <v>319</v>
      </c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true" outlineLevel="0" collapsed="false">
      <c r="A17" s="2"/>
      <c r="B17" s="4" t="s">
        <v>58</v>
      </c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true" outlineLevel="0" collapsed="false">
      <c r="A18" s="2"/>
      <c r="B18" s="7" t="s">
        <v>33</v>
      </c>
      <c r="C18" s="7" t="s">
        <v>59</v>
      </c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true" outlineLevel="0" collapsed="false">
      <c r="A19" s="2"/>
      <c r="B19" s="9" t="s">
        <v>320</v>
      </c>
      <c r="C19" s="8" t="s">
        <v>321</v>
      </c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true" outlineLevel="0" collapsed="false">
      <c r="A20" s="2"/>
      <c r="B20" s="9" t="s">
        <v>322</v>
      </c>
      <c r="C20" s="8" t="s">
        <v>323</v>
      </c>
      <c r="D20" s="2"/>
      <c r="E20" s="2"/>
      <c r="F20" s="2"/>
      <c r="G20" s="2"/>
      <c r="H20" s="2"/>
      <c r="I20" s="2"/>
      <c r="J20" s="2"/>
      <c r="K20" s="2"/>
    </row>
  </sheetData>
  <mergeCells count="1">
    <mergeCell ref="C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5"/>
    <col collapsed="false" customWidth="true" hidden="false" outlineLevel="0" max="5" min="3" style="1" width="14"/>
    <col collapsed="false" customWidth="true" hidden="false" outlineLevel="0" max="6" min="6" style="1" width="17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324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325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26.25" hidden="false" customHeight="true" outlineLevel="0" collapsed="false">
      <c r="A8" s="2"/>
      <c r="B8" s="19" t="s">
        <v>326</v>
      </c>
      <c r="C8" s="19" t="s">
        <v>327</v>
      </c>
      <c r="D8" s="19" t="s">
        <v>328</v>
      </c>
      <c r="E8" s="19" t="s">
        <v>37</v>
      </c>
      <c r="F8" s="19" t="s">
        <v>329</v>
      </c>
      <c r="G8" s="19" t="s">
        <v>330</v>
      </c>
      <c r="H8" s="19" t="s">
        <v>331</v>
      </c>
    </row>
    <row r="9" customFormat="false" ht="42.75" hidden="false" customHeight="true" outlineLevel="0" collapsed="false">
      <c r="A9" s="2"/>
      <c r="B9" s="9" t="s">
        <v>332</v>
      </c>
      <c r="C9" s="15" t="n">
        <v>14</v>
      </c>
      <c r="D9" s="8" t="s">
        <v>333</v>
      </c>
      <c r="E9" s="8" t="s">
        <v>334</v>
      </c>
      <c r="F9" s="9" t="s">
        <v>335</v>
      </c>
      <c r="G9" s="14" t="s">
        <v>336</v>
      </c>
      <c r="H9" s="9" t="s">
        <v>337</v>
      </c>
    </row>
    <row r="10" customFormat="false" ht="53.25" hidden="false" customHeight="true" outlineLevel="0" collapsed="false">
      <c r="A10" s="2"/>
      <c r="B10" s="9" t="s">
        <v>338</v>
      </c>
      <c r="C10" s="15" t="n">
        <v>42</v>
      </c>
      <c r="D10" s="9" t="s">
        <v>339</v>
      </c>
      <c r="E10" s="8" t="s">
        <v>334</v>
      </c>
      <c r="F10" s="9" t="s">
        <v>340</v>
      </c>
      <c r="G10" s="14" t="s">
        <v>341</v>
      </c>
      <c r="H10" s="9" t="s">
        <v>342</v>
      </c>
    </row>
    <row r="11" customFormat="false" ht="32.25" hidden="false" customHeight="true" outlineLevel="0" collapsed="false">
      <c r="A11" s="2"/>
      <c r="B11" s="9" t="s">
        <v>338</v>
      </c>
      <c r="C11" s="15" t="n">
        <v>36</v>
      </c>
      <c r="D11" s="8" t="s">
        <v>343</v>
      </c>
      <c r="E11" s="8" t="s">
        <v>334</v>
      </c>
      <c r="F11" s="9" t="s">
        <v>340</v>
      </c>
      <c r="G11" s="14" t="s">
        <v>341</v>
      </c>
      <c r="H11" s="9" t="s">
        <v>344</v>
      </c>
    </row>
    <row r="12" customFormat="false" ht="42.75" hidden="false" customHeight="true" outlineLevel="0" collapsed="false">
      <c r="A12" s="2"/>
      <c r="B12" s="9" t="s">
        <v>345</v>
      </c>
      <c r="C12" s="15" t="n">
        <v>37</v>
      </c>
      <c r="D12" s="9" t="s">
        <v>346</v>
      </c>
      <c r="E12" s="8" t="s">
        <v>347</v>
      </c>
      <c r="F12" s="9" t="s">
        <v>348</v>
      </c>
      <c r="G12" s="14" t="s">
        <v>349</v>
      </c>
      <c r="H12" s="9" t="s">
        <v>350</v>
      </c>
    </row>
    <row r="13" customFormat="false" ht="53.25" hidden="false" customHeight="true" outlineLevel="0" collapsed="false">
      <c r="A13" s="2"/>
      <c r="B13" s="9" t="s">
        <v>351</v>
      </c>
      <c r="C13" s="15" t="n">
        <v>73</v>
      </c>
      <c r="D13" s="8" t="s">
        <v>352</v>
      </c>
      <c r="E13" s="8" t="s">
        <v>353</v>
      </c>
      <c r="F13" s="9" t="s">
        <v>354</v>
      </c>
      <c r="G13" s="14" t="s">
        <v>355</v>
      </c>
      <c r="H13" s="9" t="s">
        <v>356</v>
      </c>
    </row>
    <row r="14" customFormat="false" ht="32.25" hidden="false" customHeight="true" outlineLevel="0" collapsed="false">
      <c r="A14" s="2"/>
      <c r="B14" s="9" t="s">
        <v>357</v>
      </c>
      <c r="C14" s="15" t="n">
        <v>52</v>
      </c>
      <c r="D14" s="9" t="s">
        <v>358</v>
      </c>
      <c r="E14" s="8" t="s">
        <v>359</v>
      </c>
      <c r="F14" s="8" t="s">
        <v>360</v>
      </c>
      <c r="G14" s="14" t="s">
        <v>361</v>
      </c>
      <c r="H14" s="9" t="s">
        <v>362</v>
      </c>
    </row>
    <row r="15" customFormat="false" ht="42.75" hidden="false" customHeight="true" outlineLevel="0" collapsed="false">
      <c r="A15" s="2"/>
      <c r="B15" s="9" t="s">
        <v>363</v>
      </c>
      <c r="C15" s="15" t="n">
        <v>501.3</v>
      </c>
      <c r="D15" s="8" t="s">
        <v>364</v>
      </c>
      <c r="E15" s="8" t="s">
        <v>334</v>
      </c>
      <c r="F15" s="9" t="s">
        <v>365</v>
      </c>
      <c r="G15" s="14" t="s">
        <v>366</v>
      </c>
      <c r="H15" s="9" t="s">
        <v>367</v>
      </c>
    </row>
  </sheetData>
  <mergeCells count="1">
    <mergeCell ref="C3:H4"/>
  </mergeCells>
  <hyperlinks>
    <hyperlink ref="G9" r:id="rId1" display="https://cashmere.io/v/klMFtxkBx"/>
    <hyperlink ref="G10" r:id="rId2" display="https://cashmere.io/v/B7qHhEH06"/>
    <hyperlink ref="G11" r:id="rId3" display="https://cashmere.io/v/B7qHhEH06"/>
    <hyperlink ref="G12" r:id="rId4" display="https://cashmere.io/v/kGsLIAodH"/>
    <hyperlink ref="G13" r:id="rId5" display="https://cashmere.io/v/GGNrDNXhF"/>
    <hyperlink ref="G14" r:id="rId6" display="https://cashmere.io/v/Z6u4doJKR"/>
    <hyperlink ref="G15" r:id="rId7" display="https://cashmere.io/v/xdtU59GO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  <tableParts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1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"/>
      <c r="B2" s="3" t="s">
        <v>368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4" t="s">
        <v>1</v>
      </c>
      <c r="C3" s="5" t="s">
        <v>369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2"/>
      <c r="B4" s="2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/>
      <c r="B8" s="7" t="s">
        <v>33</v>
      </c>
      <c r="C8" s="7" t="s">
        <v>370</v>
      </c>
      <c r="D8" s="7" t="s">
        <v>59</v>
      </c>
      <c r="E8" s="2"/>
      <c r="F8" s="2"/>
      <c r="G8" s="2"/>
      <c r="H8" s="2"/>
    </row>
    <row r="9" customFormat="false" ht="15" hidden="false" customHeight="true" outlineLevel="0" collapsed="false">
      <c r="A9" s="2"/>
      <c r="B9" s="9" t="s">
        <v>371</v>
      </c>
      <c r="C9" s="8" t="s">
        <v>372</v>
      </c>
      <c r="D9" s="14" t="s">
        <v>61</v>
      </c>
      <c r="E9" s="2"/>
      <c r="F9" s="2"/>
      <c r="G9" s="2"/>
      <c r="H9" s="2"/>
    </row>
    <row r="10" customFormat="false" ht="15" hidden="false" customHeight="true" outlineLevel="0" collapsed="false">
      <c r="A10" s="2"/>
      <c r="B10" s="9" t="s">
        <v>373</v>
      </c>
      <c r="C10" s="9" t="s">
        <v>374</v>
      </c>
      <c r="D10" s="14" t="s">
        <v>89</v>
      </c>
      <c r="E10" s="2"/>
      <c r="F10" s="2"/>
      <c r="G10" s="2"/>
      <c r="H10" s="2"/>
    </row>
    <row r="11" customFormat="false" ht="15" hidden="false" customHeight="true" outlineLevel="0" collapsed="false">
      <c r="A11" s="2"/>
      <c r="B11" s="9" t="s">
        <v>375</v>
      </c>
      <c r="C11" s="9" t="s">
        <v>374</v>
      </c>
      <c r="D11" s="14" t="s">
        <v>91</v>
      </c>
      <c r="E11" s="2"/>
      <c r="F11" s="2"/>
      <c r="G11" s="2"/>
      <c r="H11" s="2"/>
    </row>
    <row r="12" customFormat="false" ht="15" hidden="false" customHeight="true" outlineLevel="0" collapsed="false">
      <c r="A12" s="2"/>
      <c r="B12" s="9" t="s">
        <v>376</v>
      </c>
      <c r="C12" s="8" t="s">
        <v>377</v>
      </c>
      <c r="D12" s="14" t="s">
        <v>108</v>
      </c>
      <c r="E12" s="2"/>
      <c r="F12" s="2"/>
      <c r="G12" s="2"/>
      <c r="H12" s="2"/>
    </row>
    <row r="13" customFormat="false" ht="15" hidden="false" customHeight="true" outlineLevel="0" collapsed="false">
      <c r="A13" s="2"/>
      <c r="B13" s="9" t="s">
        <v>378</v>
      </c>
      <c r="C13" s="8" t="s">
        <v>372</v>
      </c>
      <c r="D13" s="14" t="s">
        <v>63</v>
      </c>
      <c r="E13" s="2"/>
      <c r="F13" s="2"/>
      <c r="G13" s="2"/>
      <c r="H13" s="2"/>
    </row>
    <row r="14" customFormat="false" ht="15" hidden="false" customHeight="true" outlineLevel="0" collapsed="false">
      <c r="A14" s="2"/>
      <c r="B14" s="9" t="s">
        <v>379</v>
      </c>
      <c r="C14" s="8" t="s">
        <v>380</v>
      </c>
      <c r="D14" s="14" t="s">
        <v>381</v>
      </c>
      <c r="E14" s="2"/>
      <c r="F14" s="2"/>
      <c r="G14" s="2"/>
      <c r="H14" s="2"/>
    </row>
    <row r="15" customFormat="false" ht="15" hidden="false" customHeight="true" outlineLevel="0" collapsed="false">
      <c r="A15" s="2"/>
      <c r="B15" s="9" t="s">
        <v>382</v>
      </c>
      <c r="C15" s="8" t="s">
        <v>383</v>
      </c>
      <c r="D15" s="14" t="s">
        <v>66</v>
      </c>
      <c r="E15" s="2"/>
      <c r="F15" s="2"/>
      <c r="G15" s="2"/>
      <c r="H15" s="2"/>
    </row>
    <row r="16" customFormat="false" ht="15" hidden="false" customHeight="true" outlineLevel="0" collapsed="false">
      <c r="A16" s="2"/>
      <c r="B16" s="9" t="s">
        <v>384</v>
      </c>
      <c r="C16" s="8" t="s">
        <v>385</v>
      </c>
      <c r="D16" s="14" t="s">
        <v>64</v>
      </c>
      <c r="E16" s="2"/>
      <c r="F16" s="2"/>
      <c r="G16" s="2"/>
      <c r="H16" s="2"/>
    </row>
    <row r="17" customFormat="false" ht="15" hidden="false" customHeight="true" outlineLevel="0" collapsed="false">
      <c r="A17" s="2"/>
      <c r="B17" s="9" t="s">
        <v>153</v>
      </c>
      <c r="C17" s="8" t="s">
        <v>386</v>
      </c>
      <c r="D17" s="14" t="s">
        <v>154</v>
      </c>
      <c r="E17" s="2"/>
      <c r="F17" s="2"/>
      <c r="G17" s="2"/>
      <c r="H17" s="2"/>
    </row>
    <row r="18" customFormat="false" ht="15" hidden="false" customHeight="true" outlineLevel="0" collapsed="false">
      <c r="A18" s="2"/>
      <c r="B18" s="9" t="s">
        <v>122</v>
      </c>
      <c r="C18" s="8" t="s">
        <v>387</v>
      </c>
      <c r="D18" s="14" t="s">
        <v>156</v>
      </c>
      <c r="E18" s="2"/>
      <c r="F18" s="2"/>
      <c r="G18" s="2"/>
      <c r="H18" s="2"/>
    </row>
    <row r="19" customFormat="false" ht="15" hidden="false" customHeight="true" outlineLevel="0" collapsed="false">
      <c r="A19" s="2"/>
      <c r="B19" s="9" t="s">
        <v>159</v>
      </c>
      <c r="C19" s="8" t="s">
        <v>388</v>
      </c>
      <c r="D19" s="14" t="s">
        <v>160</v>
      </c>
      <c r="E19" s="2"/>
      <c r="F19" s="2"/>
      <c r="G19" s="2"/>
      <c r="H19" s="2"/>
    </row>
    <row r="20" customFormat="false" ht="15" hidden="false" customHeight="true" outlineLevel="0" collapsed="false">
      <c r="A20" s="2"/>
      <c r="B20" s="9" t="s">
        <v>389</v>
      </c>
      <c r="C20" s="9" t="s">
        <v>390</v>
      </c>
      <c r="D20" s="14" t="s">
        <v>391</v>
      </c>
      <c r="E20" s="2"/>
      <c r="F20" s="2"/>
      <c r="G20" s="2"/>
      <c r="H20" s="2"/>
    </row>
    <row r="21" customFormat="false" ht="15" hidden="false" customHeight="true" outlineLevel="0" collapsed="false">
      <c r="A21" s="2"/>
      <c r="B21" s="8" t="s">
        <v>161</v>
      </c>
      <c r="C21" s="9" t="s">
        <v>392</v>
      </c>
      <c r="D21" s="14" t="s">
        <v>162</v>
      </c>
      <c r="E21" s="2"/>
      <c r="F21" s="2"/>
      <c r="G21" s="2"/>
      <c r="H21" s="2"/>
    </row>
    <row r="22" customFormat="false" ht="15" hidden="false" customHeight="true" outlineLevel="0" collapsed="false">
      <c r="A22" s="2"/>
      <c r="B22" s="8" t="s">
        <v>393</v>
      </c>
      <c r="C22" s="8" t="s">
        <v>394</v>
      </c>
      <c r="D22" s="14" t="s">
        <v>158</v>
      </c>
      <c r="E22" s="2"/>
      <c r="F22" s="2"/>
      <c r="G22" s="2"/>
      <c r="H22" s="2"/>
    </row>
    <row r="23" customFormat="false" ht="15" hidden="false" customHeight="true" outlineLevel="0" collapsed="false">
      <c r="A23" s="2"/>
      <c r="B23" s="9" t="s">
        <v>395</v>
      </c>
      <c r="C23" s="9" t="s">
        <v>396</v>
      </c>
      <c r="D23" s="14" t="s">
        <v>397</v>
      </c>
      <c r="E23" s="2"/>
      <c r="F23" s="2"/>
      <c r="G23" s="2"/>
      <c r="H23" s="2"/>
    </row>
    <row r="24" customFormat="false" ht="15" hidden="false" customHeight="true" outlineLevel="0" collapsed="false">
      <c r="A24" s="2"/>
      <c r="B24" s="8" t="s">
        <v>288</v>
      </c>
      <c r="C24" s="8" t="s">
        <v>398</v>
      </c>
      <c r="D24" s="14" t="s">
        <v>289</v>
      </c>
      <c r="E24" s="2"/>
      <c r="F24" s="2"/>
      <c r="G24" s="2"/>
      <c r="H24" s="2"/>
    </row>
    <row r="25" customFormat="false" ht="15" hidden="false" customHeight="true" outlineLevel="0" collapsed="false">
      <c r="A25" s="2"/>
      <c r="B25" s="9" t="s">
        <v>290</v>
      </c>
      <c r="C25" s="8" t="s">
        <v>399</v>
      </c>
      <c r="D25" s="14" t="s">
        <v>291</v>
      </c>
      <c r="E25" s="2"/>
      <c r="F25" s="2"/>
      <c r="G25" s="2"/>
      <c r="H25" s="2"/>
    </row>
    <row r="26" customFormat="false" ht="15" hidden="false" customHeight="true" outlineLevel="0" collapsed="false">
      <c r="A26" s="2"/>
      <c r="B26" s="9" t="s">
        <v>400</v>
      </c>
      <c r="C26" s="8" t="s">
        <v>401</v>
      </c>
      <c r="D26" s="14" t="s">
        <v>293</v>
      </c>
      <c r="E26" s="2"/>
      <c r="F26" s="2"/>
      <c r="G26" s="2"/>
      <c r="H26" s="2"/>
    </row>
    <row r="27" customFormat="false" ht="15" hidden="false" customHeight="true" outlineLevel="0" collapsed="false">
      <c r="A27" s="2"/>
      <c r="B27" s="8" t="s">
        <v>402</v>
      </c>
      <c r="C27" s="8" t="s">
        <v>403</v>
      </c>
      <c r="D27" s="14" t="s">
        <v>295</v>
      </c>
      <c r="E27" s="2"/>
      <c r="F27" s="2"/>
      <c r="G27" s="2"/>
      <c r="H27" s="2"/>
    </row>
    <row r="28" customFormat="false" ht="15" hidden="false" customHeight="true" outlineLevel="0" collapsed="false">
      <c r="A28" s="2"/>
      <c r="B28" s="8" t="s">
        <v>248</v>
      </c>
      <c r="C28" s="9" t="s">
        <v>404</v>
      </c>
      <c r="D28" s="14" t="s">
        <v>249</v>
      </c>
      <c r="E28" s="2"/>
      <c r="F28" s="2"/>
      <c r="G28" s="2"/>
      <c r="H28" s="2"/>
    </row>
    <row r="29" customFormat="false" ht="15" hidden="false" customHeight="true" outlineLevel="0" collapsed="false">
      <c r="A29" s="2"/>
      <c r="B29" s="9" t="s">
        <v>244</v>
      </c>
      <c r="C29" s="9" t="s">
        <v>404</v>
      </c>
      <c r="D29" s="14" t="s">
        <v>245</v>
      </c>
      <c r="E29" s="2"/>
      <c r="F29" s="2"/>
      <c r="G29" s="2"/>
      <c r="H29" s="2"/>
    </row>
    <row r="30" customFormat="false" ht="15" hidden="false" customHeight="true" outlineLevel="0" collapsed="false">
      <c r="A30" s="2"/>
      <c r="B30" s="8" t="s">
        <v>405</v>
      </c>
      <c r="C30" s="9" t="s">
        <v>404</v>
      </c>
      <c r="D30" s="14" t="s">
        <v>247</v>
      </c>
      <c r="E30" s="2"/>
      <c r="F30" s="2"/>
      <c r="G30" s="2"/>
      <c r="H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true" outlineLevel="0" collapsed="false">
      <c r="A32" s="2"/>
      <c r="B32" s="19" t="s">
        <v>33</v>
      </c>
      <c r="C32" s="19" t="s">
        <v>370</v>
      </c>
      <c r="D32" s="19" t="s">
        <v>59</v>
      </c>
      <c r="E32" s="2"/>
      <c r="F32" s="2"/>
      <c r="G32" s="2"/>
      <c r="H32" s="2"/>
    </row>
    <row r="33" customFormat="false" ht="42.75" hidden="false" customHeight="true" outlineLevel="0" collapsed="false">
      <c r="A33" s="2"/>
      <c r="B33" s="9" t="s">
        <v>406</v>
      </c>
      <c r="C33" s="8" t="s">
        <v>407</v>
      </c>
      <c r="D33" s="14" t="s">
        <v>336</v>
      </c>
      <c r="E33" s="2"/>
      <c r="F33" s="2"/>
      <c r="G33" s="2"/>
      <c r="H33" s="2"/>
    </row>
    <row r="34" customFormat="false" ht="32.25" hidden="false" customHeight="true" outlineLevel="0" collapsed="false">
      <c r="A34" s="2"/>
      <c r="B34" s="9" t="s">
        <v>408</v>
      </c>
      <c r="C34" s="9" t="s">
        <v>409</v>
      </c>
      <c r="D34" s="14" t="s">
        <v>341</v>
      </c>
      <c r="E34" s="2"/>
      <c r="F34" s="2"/>
      <c r="G34" s="2"/>
      <c r="H34" s="2"/>
    </row>
    <row r="35" customFormat="false" ht="32.25" hidden="false" customHeight="true" outlineLevel="0" collapsed="false">
      <c r="A35" s="2"/>
      <c r="B35" s="9" t="s">
        <v>410</v>
      </c>
      <c r="C35" s="9" t="s">
        <v>411</v>
      </c>
      <c r="D35" s="14" t="s">
        <v>349</v>
      </c>
      <c r="E35" s="2"/>
      <c r="F35" s="2"/>
      <c r="G35" s="2"/>
      <c r="H35" s="2"/>
    </row>
    <row r="36" customFormat="false" ht="53.25" hidden="false" customHeight="true" outlineLevel="0" collapsed="false">
      <c r="A36" s="2"/>
      <c r="B36" s="9" t="s">
        <v>412</v>
      </c>
      <c r="C36" s="8" t="s">
        <v>413</v>
      </c>
      <c r="D36" s="14" t="s">
        <v>366</v>
      </c>
      <c r="E36" s="2"/>
      <c r="F36" s="2"/>
      <c r="G36" s="2"/>
      <c r="H36" s="2"/>
    </row>
    <row r="37" customFormat="false" ht="79.5" hidden="false" customHeight="true" outlineLevel="0" collapsed="false">
      <c r="B37" s="20" t="s">
        <v>414</v>
      </c>
      <c r="C37" s="20" t="s">
        <v>415</v>
      </c>
      <c r="D37" s="20" t="s">
        <v>416</v>
      </c>
      <c r="E37" s="20" t="s">
        <v>417</v>
      </c>
      <c r="F37" s="20" t="s">
        <v>418</v>
      </c>
    </row>
    <row r="38" customFormat="false" ht="68.25" hidden="false" customHeight="true" outlineLevel="0" collapsed="false">
      <c r="B38" s="20" t="s">
        <v>419</v>
      </c>
      <c r="C38" s="20" t="s">
        <v>420</v>
      </c>
      <c r="D38" s="20" t="s">
        <v>421</v>
      </c>
      <c r="E38" s="20" t="s">
        <v>417</v>
      </c>
      <c r="F38" s="20" t="s">
        <v>418</v>
      </c>
    </row>
    <row r="39" customFormat="false" ht="68.25" hidden="false" customHeight="true" outlineLevel="0" collapsed="false">
      <c r="B39" s="20" t="s">
        <v>422</v>
      </c>
      <c r="C39" s="20" t="s">
        <v>423</v>
      </c>
      <c r="D39" s="20" t="s">
        <v>424</v>
      </c>
      <c r="E39" s="20" t="s">
        <v>425</v>
      </c>
      <c r="F39" s="20" t="s">
        <v>418</v>
      </c>
    </row>
    <row r="40" customFormat="false" ht="90.75" hidden="false" customHeight="true" outlineLevel="0" collapsed="false">
      <c r="B40" s="20" t="s">
        <v>426</v>
      </c>
      <c r="C40" s="20" t="s">
        <v>427</v>
      </c>
      <c r="D40" s="20" t="s">
        <v>428</v>
      </c>
      <c r="E40" s="20" t="s">
        <v>425</v>
      </c>
      <c r="F40" s="20" t="s">
        <v>418</v>
      </c>
    </row>
    <row r="41" customFormat="false" ht="68.25" hidden="false" customHeight="true" outlineLevel="0" collapsed="false">
      <c r="B41" s="20" t="s">
        <v>429</v>
      </c>
      <c r="C41" s="20" t="s">
        <v>430</v>
      </c>
      <c r="D41" s="20" t="s">
        <v>431</v>
      </c>
      <c r="E41" s="20" t="s">
        <v>432</v>
      </c>
      <c r="F41" s="20" t="s">
        <v>418</v>
      </c>
    </row>
    <row r="42" customFormat="false" ht="124.5" hidden="false" customHeight="true" outlineLevel="0" collapsed="false">
      <c r="B42" s="20" t="s">
        <v>433</v>
      </c>
      <c r="C42" s="20" t="s">
        <v>434</v>
      </c>
      <c r="D42" s="20" t="s">
        <v>435</v>
      </c>
      <c r="E42" s="20" t="s">
        <v>436</v>
      </c>
      <c r="F42" s="20" t="s">
        <v>437</v>
      </c>
    </row>
    <row r="43" customFormat="false" ht="102" hidden="false" customHeight="true" outlineLevel="0" collapsed="false">
      <c r="B43" s="20" t="s">
        <v>438</v>
      </c>
      <c r="C43" s="20" t="s">
        <v>439</v>
      </c>
      <c r="D43" s="20" t="s">
        <v>440</v>
      </c>
      <c r="E43" s="20" t="s">
        <v>441</v>
      </c>
      <c r="F43" s="20" t="s">
        <v>437</v>
      </c>
    </row>
    <row r="44" customFormat="false" ht="113.25" hidden="false" customHeight="true" outlineLevel="0" collapsed="false">
      <c r="B44" s="20" t="s">
        <v>442</v>
      </c>
      <c r="C44" s="20" t="s">
        <v>443</v>
      </c>
      <c r="D44" s="20" t="s">
        <v>444</v>
      </c>
      <c r="E44" s="20" t="s">
        <v>445</v>
      </c>
      <c r="F44" s="20" t="s">
        <v>437</v>
      </c>
    </row>
    <row r="45" customFormat="false" ht="45.75" hidden="false" customHeight="true" outlineLevel="0" collapsed="false">
      <c r="B45" s="20" t="s">
        <v>446</v>
      </c>
      <c r="C45" s="20" t="s">
        <v>447</v>
      </c>
      <c r="D45" s="20" t="s">
        <v>448</v>
      </c>
      <c r="E45" s="20" t="s">
        <v>449</v>
      </c>
      <c r="F45" s="20" t="s">
        <v>450</v>
      </c>
    </row>
  </sheetData>
  <mergeCells count="1">
    <mergeCell ref="C3:H4"/>
  </mergeCells>
  <hyperlinks>
    <hyperlink ref="D9" r:id="rId1" display="https://www.nber.org/papers/w32487"/>
    <hyperlink ref="D10" r:id="rId2" display="https://www.nber.org/papers/w32966"/>
    <hyperlink ref="D11" r:id="rId3" display="https://www.stlouisfed.org/open-vault/2025/oct/generative-ai-productivity-future-work"/>
    <hyperlink ref="D12" r:id="rId4" display="https://www.imf.org/en/blogs/articles/2024/01/14/ai-will-transform-the-global-economy-lets-make-sure-it-benefits-humanity"/>
    <hyperlink ref="D13" r:id="rId5" display="https://www.oecd.org/en/publications/miracle-or-myth-assessing-the-macroeconomic-productivity-gains-from-artificial-intelligence_b524a072-en.html"/>
    <hyperlink ref="D14" r:id="rId6" display="https://www.pwc.com/gx/en/services/ai/ai-jobs-barometer.html"/>
    <hyperlink ref="D15" r:id="rId7" display="https://www.mckinsey.com/capabilities/tech-and-ai/our-insights/the-economic-potential-of-generative-ai-the-next-productivity-frontier"/>
    <hyperlink ref="D16" r:id="rId8" display="https://www.goldmansachs.com/insights/articles/generative-ai-could-raise-global-gdp-by-7-percent"/>
    <hyperlink ref="D17" r:id="rId9" display="https://www.nber.org/papers/w31161"/>
    <hyperlink ref="D18" r:id="rId10" display="https://www.hbs.edu/faculty/Pages/item.aspx?num=64700"/>
    <hyperlink ref="D19" r:id="rId11" display="https://arxiv.org/abs/2302.06590"/>
    <hyperlink ref="D20" r:id="rId12" display="https://mit-genai.pubpub.org/pub/v5iixksv"/>
    <hyperlink ref="D21" r:id="rId13" display="https://metr.org/blog/2025-07-10-early-2025-ai-experienced-os-dev-study/"/>
    <hyperlink ref="D22" r:id="rId14" display="https://cepr.org/voxeu/columns/productivity-effects-generative-artificial-intelligence"/>
    <hyperlink ref="D23" r:id="rId15" display="https://www.gov.uk/government/publications/microsoft-365-copilot-experiment-cross-government-findings-report"/>
    <hyperlink ref="D24" r:id="rId16" display="https://www.intercom.com/pricing"/>
    <hyperlink ref="D25" r:id="rId17" display="https://www.salesforce.com/agentforce/pricing/"/>
    <hyperlink ref="D26" r:id="rId18" display="https://www.microsoft.com/en-us/microsoft-365/blog/2024/10/17/microsoft-365-copilot-drove-up-to-353-roi-for-small-and-medium-businesses-new-study/"/>
    <hyperlink ref="D27" r:id="rId19" display="https://docs.github.com/en/copilot/get-started/plans"/>
    <hyperlink ref="D28" r:id="rId20" display="https://a16z.com/newsletter/december-2024-enterprise-newsletter-ai-is-driving-a-shift-towards-outcome-based-pricing/"/>
    <hyperlink ref="D29" r:id="rId21" display="https://www.bcg.com/publications/2025/rethinking-b2b-software-pricing-in-the-era-of-ai"/>
    <hyperlink ref="D30" r:id="rId22" display="https://www.bain.com/insights/per-seat-software-pricing-isnt-dead-but-new-models-are-gaining-steam/"/>
    <hyperlink ref="D33" r:id="rId23" display="https://cashmere.io/v/klMFtxkBx"/>
    <hyperlink ref="D34" r:id="rId24" display="https://cashmere.io/v/B7qHhEH06"/>
    <hyperlink ref="D35" r:id="rId25" display="https://cashmere.io/v/kGsLIAodH"/>
    <hyperlink ref="D36" r:id="rId26" display="https://cashmere.io/v/xdtU59GO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2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50"/>
    <col collapsed="false" customWidth="true" hidden="false" outlineLevel="0" max="5" min="5" style="1" width="38"/>
  </cols>
  <sheetData>
    <row r="1" customFormat="false" ht="15" hidden="false" customHeight="true" outlineLevel="0" collapsed="false">
      <c r="A1" s="21"/>
      <c r="B1" s="21"/>
      <c r="C1" s="21"/>
      <c r="D1" s="21"/>
      <c r="E1" s="21"/>
    </row>
    <row r="2" customFormat="false" ht="72.75" hidden="false" customHeight="true" outlineLevel="0" collapsed="false">
      <c r="A2" s="21"/>
      <c r="B2" s="22" t="s">
        <v>451</v>
      </c>
      <c r="C2" s="21"/>
      <c r="D2" s="21"/>
      <c r="E2" s="21"/>
    </row>
    <row r="3" customFormat="false" ht="108.75" hidden="false" customHeight="true" outlineLevel="0" collapsed="false">
      <c r="A3" s="21"/>
      <c r="B3" s="23" t="s">
        <v>452</v>
      </c>
      <c r="C3" s="21"/>
      <c r="D3" s="21"/>
      <c r="E3" s="21"/>
    </row>
    <row r="4" customFormat="false" ht="15" hidden="false" customHeight="true" outlineLevel="0" collapsed="false">
      <c r="A4" s="21"/>
      <c r="B4" s="21"/>
      <c r="C4" s="21"/>
      <c r="D4" s="21"/>
      <c r="E4" s="21"/>
    </row>
    <row r="5" customFormat="false" ht="15" hidden="false" customHeight="true" outlineLevel="0" collapsed="false">
      <c r="A5" s="21"/>
      <c r="B5" s="24" t="s">
        <v>453</v>
      </c>
      <c r="C5" s="24" t="s">
        <v>454</v>
      </c>
      <c r="D5" s="24" t="s">
        <v>331</v>
      </c>
      <c r="E5" s="24" t="s">
        <v>455</v>
      </c>
    </row>
    <row r="6" customFormat="false" ht="34.5" hidden="false" customHeight="true" outlineLevel="0" collapsed="false">
      <c r="A6" s="21"/>
      <c r="B6" s="25" t="s">
        <v>456</v>
      </c>
      <c r="C6" s="26" t="s">
        <v>457</v>
      </c>
      <c r="D6" s="26" t="s">
        <v>458</v>
      </c>
      <c r="E6" s="26" t="s">
        <v>459</v>
      </c>
    </row>
    <row r="7" customFormat="false" ht="23.25" hidden="false" customHeight="true" outlineLevel="0" collapsed="false">
      <c r="A7" s="21"/>
      <c r="B7" s="25" t="s">
        <v>460</v>
      </c>
      <c r="C7" s="26" t="s">
        <v>461</v>
      </c>
      <c r="D7" s="26" t="s">
        <v>462</v>
      </c>
      <c r="E7" s="26" t="s">
        <v>463</v>
      </c>
    </row>
    <row r="8" customFormat="false" ht="23.25" hidden="false" customHeight="true" outlineLevel="0" collapsed="false">
      <c r="A8" s="21"/>
      <c r="B8" s="25" t="s">
        <v>464</v>
      </c>
      <c r="C8" s="26" t="s">
        <v>465</v>
      </c>
      <c r="D8" s="26" t="s">
        <v>466</v>
      </c>
      <c r="E8" s="26" t="s">
        <v>467</v>
      </c>
    </row>
    <row r="9" customFormat="false" ht="23.25" hidden="false" customHeight="true" outlineLevel="0" collapsed="false">
      <c r="A9" s="21"/>
      <c r="B9" s="25" t="s">
        <v>468</v>
      </c>
      <c r="C9" s="26" t="s">
        <v>469</v>
      </c>
      <c r="D9" s="26" t="s">
        <v>470</v>
      </c>
      <c r="E9" s="26" t="s">
        <v>471</v>
      </c>
    </row>
    <row r="10" customFormat="false" ht="23.25" hidden="false" customHeight="true" outlineLevel="0" collapsed="false">
      <c r="A10" s="21"/>
      <c r="B10" s="25" t="s">
        <v>472</v>
      </c>
      <c r="C10" s="26" t="s">
        <v>473</v>
      </c>
      <c r="D10" s="26" t="s">
        <v>474</v>
      </c>
      <c r="E10" s="26" t="s">
        <v>475</v>
      </c>
    </row>
    <row r="11" customFormat="false" ht="23.25" hidden="false" customHeight="true" outlineLevel="0" collapsed="false">
      <c r="A11" s="21"/>
      <c r="B11" s="25" t="s">
        <v>476</v>
      </c>
      <c r="C11" s="26" t="s">
        <v>477</v>
      </c>
      <c r="D11" s="26" t="s">
        <v>478</v>
      </c>
      <c r="E11" s="26" t="s">
        <v>479</v>
      </c>
    </row>
    <row r="12" customFormat="false" ht="23.25" hidden="false" customHeight="true" outlineLevel="0" collapsed="false">
      <c r="A12" s="21"/>
      <c r="B12" s="26" t="s">
        <v>480</v>
      </c>
      <c r="C12" s="26" t="s">
        <v>481</v>
      </c>
      <c r="D12" s="26" t="s">
        <v>482</v>
      </c>
      <c r="E12" s="26" t="s">
        <v>483</v>
      </c>
    </row>
    <row r="13" customFormat="false" ht="15" hidden="false" customHeight="true" outlineLevel="0" collapsed="false">
      <c r="A13" s="21"/>
      <c r="B13" s="21"/>
      <c r="C13" s="21"/>
      <c r="D13" s="21"/>
      <c r="E13" s="21"/>
    </row>
    <row r="14" customFormat="false" ht="15" hidden="false" customHeight="true" outlineLevel="0" collapsed="false">
      <c r="A14" s="21"/>
      <c r="B14" s="21"/>
      <c r="C14" s="21"/>
      <c r="D14" s="21"/>
      <c r="E14" s="21"/>
    </row>
    <row r="15" customFormat="false" ht="15" hidden="false" customHeight="true" outlineLevel="0" collapsed="false">
      <c r="A15" s="21"/>
      <c r="B15" s="21"/>
      <c r="C15" s="21"/>
      <c r="D15" s="21"/>
      <c r="E15" s="21"/>
    </row>
    <row r="16" customFormat="false" ht="27.75" hidden="false" customHeight="true" outlineLevel="0" collapsed="false">
      <c r="A16" s="21"/>
      <c r="B16" s="27" t="s">
        <v>484</v>
      </c>
      <c r="C16" s="27"/>
      <c r="D16" s="27"/>
      <c r="E16" s="27"/>
    </row>
  </sheetData>
  <mergeCells count="1"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12" min="12" style="1" width="42"/>
    <col collapsed="false" customWidth="true" hidden="false" outlineLevel="0" max="13" min="13" style="1" width="35"/>
    <col collapsed="false" customWidth="true" hidden="false" outlineLevel="0" max="14" min="14" style="1" width="16"/>
  </cols>
  <sheetData>
    <row r="1" customFormat="false" ht="15" hidden="false" customHeight="true" outlineLevel="0" collapsed="false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54.75" hidden="false" customHeight="true" outlineLevel="0" collapsed="false">
      <c r="A2" s="21"/>
      <c r="B2" s="22" t="s">
        <v>485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customFormat="false" ht="122.25" hidden="false" customHeight="true" outlineLevel="0" collapsed="false">
      <c r="A3" s="21"/>
      <c r="B3" s="23" t="s">
        <v>486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customFormat="false" ht="15" hidden="false" customHeight="true" outlineLevel="0" collapsed="false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customFormat="false" ht="41.25" hidden="false" customHeight="true" outlineLevel="0" collapsed="false">
      <c r="A5" s="21"/>
      <c r="B5" s="24" t="s">
        <v>487</v>
      </c>
      <c r="C5" s="24" t="s">
        <v>488</v>
      </c>
      <c r="D5" s="24" t="s">
        <v>489</v>
      </c>
      <c r="E5" s="24" t="s">
        <v>490</v>
      </c>
      <c r="F5" s="24" t="s">
        <v>491</v>
      </c>
      <c r="G5" s="24" t="s">
        <v>492</v>
      </c>
      <c r="H5" s="24" t="s">
        <v>476</v>
      </c>
      <c r="I5" s="24" t="s">
        <v>493</v>
      </c>
      <c r="J5" s="24" t="s">
        <v>480</v>
      </c>
      <c r="K5" s="24" t="s">
        <v>494</v>
      </c>
      <c r="L5" s="24" t="s">
        <v>495</v>
      </c>
      <c r="M5" s="24" t="s">
        <v>496</v>
      </c>
      <c r="N5" s="24" t="s">
        <v>115</v>
      </c>
    </row>
    <row r="6" customFormat="false" ht="23.25" hidden="false" customHeight="true" outlineLevel="0" collapsed="false">
      <c r="A6" s="21"/>
      <c r="B6" s="25" t="s">
        <v>116</v>
      </c>
      <c r="C6" s="28" t="s">
        <v>497</v>
      </c>
      <c r="D6" s="29" t="n">
        <v>0.02</v>
      </c>
      <c r="E6" s="29" t="n">
        <v>0.23</v>
      </c>
      <c r="F6" s="29" t="n">
        <v>0.01</v>
      </c>
      <c r="G6" s="29" t="n">
        <v>0.05</v>
      </c>
      <c r="H6" s="30" t="n">
        <f aca="false">D6+E6+F6-G6</f>
        <v>0.21</v>
      </c>
      <c r="I6" s="31" t="n">
        <f aca="false">100+H6*100</f>
        <v>121</v>
      </c>
      <c r="J6" s="28" t="n">
        <f aca="false">H6*(0.15*1+0.8*0.6+0.05*0.8)</f>
        <v>0.1407</v>
      </c>
      <c r="K6" s="32" t="n">
        <v>4.5</v>
      </c>
      <c r="L6" s="26" t="s">
        <v>498</v>
      </c>
      <c r="M6" s="26" t="s">
        <v>499</v>
      </c>
      <c r="N6" s="25" t="s">
        <v>137</v>
      </c>
    </row>
    <row r="7" customFormat="false" ht="23.25" hidden="false" customHeight="true" outlineLevel="0" collapsed="false">
      <c r="A7" s="21"/>
      <c r="B7" s="26" t="s">
        <v>500</v>
      </c>
      <c r="C7" s="28" t="s">
        <v>501</v>
      </c>
      <c r="D7" s="29" t="n">
        <v>0.05</v>
      </c>
      <c r="E7" s="29" t="n">
        <v>0.22</v>
      </c>
      <c r="F7" s="29" t="n">
        <v>0.02</v>
      </c>
      <c r="G7" s="29" t="n">
        <v>0.05</v>
      </c>
      <c r="H7" s="30" t="n">
        <f aca="false">D7+E7+F7-G7</f>
        <v>0.24</v>
      </c>
      <c r="I7" s="31" t="n">
        <f aca="false">100+H7*100</f>
        <v>124</v>
      </c>
      <c r="J7" s="28" t="n">
        <f aca="false">H7*(0.2*1+0.7*0.6+0.1*0.8)</f>
        <v>0.168</v>
      </c>
      <c r="K7" s="32" t="n">
        <v>3</v>
      </c>
      <c r="L7" s="26" t="s">
        <v>502</v>
      </c>
      <c r="M7" s="25" t="s">
        <v>503</v>
      </c>
      <c r="N7" s="25" t="s">
        <v>137</v>
      </c>
    </row>
    <row r="8" customFormat="false" ht="23.25" hidden="false" customHeight="true" outlineLevel="0" collapsed="false">
      <c r="A8" s="21"/>
      <c r="B8" s="25" t="s">
        <v>504</v>
      </c>
      <c r="C8" s="28" t="s">
        <v>505</v>
      </c>
      <c r="D8" s="29" t="n">
        <v>0.04</v>
      </c>
      <c r="E8" s="29" t="n">
        <v>0.14</v>
      </c>
      <c r="F8" s="29" t="n">
        <v>0.01</v>
      </c>
      <c r="G8" s="29" t="n">
        <v>0.04</v>
      </c>
      <c r="H8" s="30" t="n">
        <f aca="false">D8+E8+F8-G8</f>
        <v>0.15</v>
      </c>
      <c r="I8" s="31" t="n">
        <f aca="false">100+H8*100</f>
        <v>115</v>
      </c>
      <c r="J8" s="28" t="n">
        <f aca="false">H8*(0.25*1+0.65*0.6+0.1*0.8)</f>
        <v>0.108</v>
      </c>
      <c r="K8" s="32" t="n">
        <v>3.5</v>
      </c>
      <c r="L8" s="26" t="s">
        <v>506</v>
      </c>
      <c r="M8" s="26" t="s">
        <v>507</v>
      </c>
      <c r="N8" s="25" t="s">
        <v>151</v>
      </c>
    </row>
    <row r="9" customFormat="false" ht="23.25" hidden="false" customHeight="true" outlineLevel="0" collapsed="false">
      <c r="A9" s="21"/>
      <c r="B9" s="25" t="s">
        <v>508</v>
      </c>
      <c r="C9" s="28" t="s">
        <v>509</v>
      </c>
      <c r="D9" s="29" t="n">
        <v>0.04</v>
      </c>
      <c r="E9" s="29" t="n">
        <v>0.12</v>
      </c>
      <c r="F9" s="29" t="n">
        <v>0</v>
      </c>
      <c r="G9" s="29" t="n">
        <v>0.05</v>
      </c>
      <c r="H9" s="30" t="n">
        <f aca="false">D9+E9+F9-G9</f>
        <v>0.11</v>
      </c>
      <c r="I9" s="31" t="n">
        <f aca="false">100+H9*100</f>
        <v>111</v>
      </c>
      <c r="J9" s="28" t="n">
        <f aca="false">H9*(0.25*1+0.7*0.6+0.05*0.8)</f>
        <v>0.0781</v>
      </c>
      <c r="K9" s="32" t="n">
        <v>3</v>
      </c>
      <c r="L9" s="26" t="s">
        <v>510</v>
      </c>
      <c r="M9" s="25" t="s">
        <v>511</v>
      </c>
      <c r="N9" s="25" t="s">
        <v>179</v>
      </c>
    </row>
    <row r="10" customFormat="false" ht="34.5" hidden="false" customHeight="true" outlineLevel="0" collapsed="false">
      <c r="A10" s="21"/>
      <c r="B10" s="25" t="s">
        <v>512</v>
      </c>
      <c r="C10" s="28" t="s">
        <v>513</v>
      </c>
      <c r="D10" s="29" t="n">
        <v>0.08</v>
      </c>
      <c r="E10" s="29" t="n">
        <v>0.05</v>
      </c>
      <c r="F10" s="29" t="n">
        <v>0</v>
      </c>
      <c r="G10" s="29" t="n">
        <v>0.04</v>
      </c>
      <c r="H10" s="30" t="n">
        <f aca="false">D10+E10+F10-G10</f>
        <v>0.09</v>
      </c>
      <c r="I10" s="31" t="n">
        <f aca="false">100+H10*100</f>
        <v>109</v>
      </c>
      <c r="J10" s="28" t="n">
        <f aca="false">H10*(0.6*1+0.35*0.6+0.05*0.8)</f>
        <v>0.0765</v>
      </c>
      <c r="K10" s="32" t="n">
        <v>3.5</v>
      </c>
      <c r="L10" s="26" t="s">
        <v>514</v>
      </c>
      <c r="M10" s="26" t="s">
        <v>515</v>
      </c>
      <c r="N10" s="25" t="s">
        <v>516</v>
      </c>
    </row>
    <row r="11" customFormat="false" ht="23.25" hidden="false" customHeight="true" outlineLevel="0" collapsed="false">
      <c r="A11" s="21"/>
      <c r="B11" s="26" t="s">
        <v>517</v>
      </c>
      <c r="C11" s="28" t="s">
        <v>518</v>
      </c>
      <c r="D11" s="29" t="n">
        <v>0.01</v>
      </c>
      <c r="E11" s="29" t="n">
        <v>0.07</v>
      </c>
      <c r="F11" s="29" t="n">
        <v>0.05</v>
      </c>
      <c r="G11" s="29" t="n">
        <v>0.03</v>
      </c>
      <c r="H11" s="30" t="n">
        <f aca="false">D11+E11+F11-G11</f>
        <v>0.1</v>
      </c>
      <c r="I11" s="31" t="n">
        <f aca="false">100+H11*100</f>
        <v>110</v>
      </c>
      <c r="J11" s="28" t="n">
        <f aca="false">H11*(0.1*1+0.6*0.6+0.3*0.8)</f>
        <v>0.07</v>
      </c>
      <c r="K11" s="32" t="n">
        <v>2.5</v>
      </c>
      <c r="L11" s="26" t="s">
        <v>519</v>
      </c>
      <c r="M11" s="26" t="s">
        <v>520</v>
      </c>
      <c r="N11" s="25" t="s">
        <v>151</v>
      </c>
    </row>
    <row r="12" customFormat="false" ht="23.25" hidden="false" customHeight="true" outlineLevel="0" collapsed="false">
      <c r="A12" s="21"/>
      <c r="B12" s="26" t="s">
        <v>521</v>
      </c>
      <c r="C12" s="28" t="s">
        <v>522</v>
      </c>
      <c r="D12" s="29" t="n">
        <v>0.05</v>
      </c>
      <c r="E12" s="29" t="n">
        <v>0.1</v>
      </c>
      <c r="F12" s="29" t="n">
        <v>0.03</v>
      </c>
      <c r="G12" s="29" t="n">
        <v>0.06</v>
      </c>
      <c r="H12" s="30" t="n">
        <f aca="false">D12+E12+F12-G12</f>
        <v>0.12</v>
      </c>
      <c r="I12" s="31" t="n">
        <f aca="false">100+H12*100</f>
        <v>112</v>
      </c>
      <c r="J12" s="28" t="n">
        <f aca="false">H12*(0.3*1+0.55*0.6+0.15*0.8)</f>
        <v>0.09</v>
      </c>
      <c r="K12" s="32" t="n">
        <v>2.5</v>
      </c>
      <c r="L12" s="26" t="s">
        <v>523</v>
      </c>
      <c r="M12" s="26" t="s">
        <v>442</v>
      </c>
      <c r="N12" s="25" t="s">
        <v>516</v>
      </c>
    </row>
    <row r="13" customFormat="false" ht="23.25" hidden="false" customHeight="true" outlineLevel="0" collapsed="false">
      <c r="A13" s="21"/>
      <c r="B13" s="26" t="s">
        <v>524</v>
      </c>
      <c r="C13" s="28" t="s">
        <v>525</v>
      </c>
      <c r="D13" s="29" t="n">
        <v>0.02</v>
      </c>
      <c r="E13" s="29" t="n">
        <v>0.1</v>
      </c>
      <c r="F13" s="29" t="n">
        <v>0.01</v>
      </c>
      <c r="G13" s="29" t="n">
        <v>0.03</v>
      </c>
      <c r="H13" s="30" t="n">
        <f aca="false">D13+E13+F13-G13</f>
        <v>0.1</v>
      </c>
      <c r="I13" s="31" t="n">
        <f aca="false">100+H13*100</f>
        <v>110</v>
      </c>
      <c r="J13" s="28" t="n">
        <f aca="false">H13*(0.2*1+0.7*0.6+0.1*0.8)</f>
        <v>0.07</v>
      </c>
      <c r="K13" s="32" t="n">
        <v>2</v>
      </c>
      <c r="L13" s="26" t="s">
        <v>526</v>
      </c>
      <c r="M13" s="26" t="s">
        <v>527</v>
      </c>
      <c r="N13" s="25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8" min="8" style="1" width="55"/>
  </cols>
  <sheetData>
    <row r="1" customFormat="false" ht="15" hidden="false" customHeight="true" outlineLevel="0" collapsed="false">
      <c r="A1" s="21"/>
      <c r="B1" s="21"/>
      <c r="C1" s="21"/>
      <c r="D1" s="21"/>
      <c r="E1" s="21"/>
      <c r="F1" s="21"/>
      <c r="G1" s="21"/>
      <c r="H1" s="21"/>
    </row>
    <row r="2" customFormat="false" ht="36.75" hidden="false" customHeight="true" outlineLevel="0" collapsed="false">
      <c r="A2" s="21"/>
      <c r="B2" s="22" t="s">
        <v>528</v>
      </c>
      <c r="C2" s="21"/>
      <c r="D2" s="21"/>
      <c r="E2" s="21"/>
      <c r="F2" s="21"/>
      <c r="G2" s="21"/>
      <c r="H2" s="21"/>
    </row>
    <row r="3" customFormat="false" ht="108.75" hidden="false" customHeight="true" outlineLevel="0" collapsed="false">
      <c r="A3" s="21"/>
      <c r="B3" s="23" t="s">
        <v>529</v>
      </c>
      <c r="C3" s="21"/>
      <c r="D3" s="21"/>
      <c r="E3" s="21"/>
      <c r="F3" s="21"/>
      <c r="G3" s="21"/>
      <c r="H3" s="21"/>
    </row>
    <row r="4" customFormat="false" ht="15" hidden="false" customHeight="true" outlineLevel="0" collapsed="false">
      <c r="A4" s="21"/>
      <c r="B4" s="21"/>
      <c r="C4" s="21"/>
      <c r="D4" s="21"/>
      <c r="E4" s="21"/>
      <c r="F4" s="21"/>
      <c r="G4" s="21"/>
      <c r="H4" s="21"/>
    </row>
    <row r="5" customFormat="false" ht="41.25" hidden="false" customHeight="true" outlineLevel="0" collapsed="false">
      <c r="A5" s="21"/>
      <c r="B5" s="24" t="s">
        <v>487</v>
      </c>
      <c r="C5" s="24" t="s">
        <v>530</v>
      </c>
      <c r="D5" s="24" t="s">
        <v>531</v>
      </c>
      <c r="E5" s="24" t="s">
        <v>532</v>
      </c>
      <c r="F5" s="24" t="s">
        <v>476</v>
      </c>
      <c r="G5" s="24" t="s">
        <v>480</v>
      </c>
      <c r="H5" s="24" t="s">
        <v>533</v>
      </c>
    </row>
    <row r="6" customFormat="false" ht="23.25" hidden="false" customHeight="true" outlineLevel="0" collapsed="false">
      <c r="A6" s="21"/>
      <c r="B6" s="25" t="s">
        <v>116</v>
      </c>
      <c r="C6" s="29" t="n">
        <v>0.15</v>
      </c>
      <c r="D6" s="29" t="n">
        <v>0.8</v>
      </c>
      <c r="E6" s="29" t="n">
        <v>0.05</v>
      </c>
      <c r="F6" s="28" t="n">
        <f aca="false">'S12 Sector Value Index'!H6</f>
        <v>0.21</v>
      </c>
      <c r="G6" s="28" t="n">
        <f aca="false">'S12 Sector Value Index'!J6</f>
        <v>0.1407</v>
      </c>
      <c r="H6" s="26" t="s">
        <v>534</v>
      </c>
    </row>
    <row r="7" customFormat="false" ht="15" hidden="false" customHeight="true" outlineLevel="0" collapsed="false">
      <c r="A7" s="21"/>
      <c r="B7" s="26" t="s">
        <v>500</v>
      </c>
      <c r="C7" s="29" t="n">
        <v>0.2</v>
      </c>
      <c r="D7" s="29" t="n">
        <v>0.7</v>
      </c>
      <c r="E7" s="29" t="n">
        <v>0.1</v>
      </c>
      <c r="F7" s="28" t="n">
        <f aca="false">'S12 Sector Value Index'!H7</f>
        <v>0.24</v>
      </c>
      <c r="G7" s="28" t="n">
        <f aca="false">'S12 Sector Value Index'!J7</f>
        <v>0.168</v>
      </c>
      <c r="H7" s="26" t="s">
        <v>535</v>
      </c>
    </row>
    <row r="8" customFormat="false" ht="15" hidden="false" customHeight="true" outlineLevel="0" collapsed="false">
      <c r="A8" s="21"/>
      <c r="B8" s="25" t="s">
        <v>504</v>
      </c>
      <c r="C8" s="29" t="n">
        <v>0.25</v>
      </c>
      <c r="D8" s="29" t="n">
        <v>0.65</v>
      </c>
      <c r="E8" s="29" t="n">
        <v>0.1</v>
      </c>
      <c r="F8" s="28" t="n">
        <f aca="false">'S12 Sector Value Index'!H8</f>
        <v>0.15</v>
      </c>
      <c r="G8" s="28" t="n">
        <f aca="false">'S12 Sector Value Index'!J8</f>
        <v>0.108</v>
      </c>
      <c r="H8" s="26" t="s">
        <v>536</v>
      </c>
    </row>
    <row r="9" customFormat="false" ht="15" hidden="false" customHeight="true" outlineLevel="0" collapsed="false">
      <c r="A9" s="21"/>
      <c r="B9" s="25" t="s">
        <v>508</v>
      </c>
      <c r="C9" s="29" t="n">
        <v>0.25</v>
      </c>
      <c r="D9" s="29" t="n">
        <v>0.7</v>
      </c>
      <c r="E9" s="29" t="n">
        <v>0.05</v>
      </c>
      <c r="F9" s="28" t="n">
        <f aca="false">'S12 Sector Value Index'!H9</f>
        <v>0.11</v>
      </c>
      <c r="G9" s="28" t="n">
        <f aca="false">'S12 Sector Value Index'!J9</f>
        <v>0.0781</v>
      </c>
      <c r="H9" s="26" t="s">
        <v>537</v>
      </c>
    </row>
    <row r="10" customFormat="false" ht="15" hidden="false" customHeight="true" outlineLevel="0" collapsed="false">
      <c r="A10" s="21"/>
      <c r="B10" s="25" t="s">
        <v>512</v>
      </c>
      <c r="C10" s="29" t="n">
        <v>0.6</v>
      </c>
      <c r="D10" s="29" t="n">
        <v>0.35</v>
      </c>
      <c r="E10" s="29" t="n">
        <v>0.05</v>
      </c>
      <c r="F10" s="28" t="n">
        <f aca="false">'S12 Sector Value Index'!H10</f>
        <v>0.09</v>
      </c>
      <c r="G10" s="28" t="n">
        <f aca="false">'S12 Sector Value Index'!J10</f>
        <v>0.0765</v>
      </c>
      <c r="H10" s="26" t="s">
        <v>538</v>
      </c>
    </row>
    <row r="11" customFormat="false" ht="15" hidden="false" customHeight="true" outlineLevel="0" collapsed="false">
      <c r="A11" s="21"/>
      <c r="B11" s="26" t="s">
        <v>517</v>
      </c>
      <c r="C11" s="29" t="n">
        <v>0.1</v>
      </c>
      <c r="D11" s="29" t="n">
        <v>0.6</v>
      </c>
      <c r="E11" s="29" t="n">
        <v>0.3</v>
      </c>
      <c r="F11" s="28" t="n">
        <f aca="false">'S12 Sector Value Index'!H11</f>
        <v>0.1</v>
      </c>
      <c r="G11" s="28" t="n">
        <f aca="false">'S12 Sector Value Index'!J11</f>
        <v>0.07</v>
      </c>
      <c r="H11" s="26" t="s">
        <v>539</v>
      </c>
    </row>
    <row r="12" customFormat="false" ht="15" hidden="false" customHeight="true" outlineLevel="0" collapsed="false">
      <c r="A12" s="21"/>
      <c r="B12" s="26" t="s">
        <v>521</v>
      </c>
      <c r="C12" s="29" t="n">
        <v>0.3</v>
      </c>
      <c r="D12" s="29" t="n">
        <v>0.55</v>
      </c>
      <c r="E12" s="29" t="n">
        <v>0.15</v>
      </c>
      <c r="F12" s="28" t="n">
        <f aca="false">'S12 Sector Value Index'!H12</f>
        <v>0.12</v>
      </c>
      <c r="G12" s="28" t="n">
        <f aca="false">'S12 Sector Value Index'!J12</f>
        <v>0.09</v>
      </c>
      <c r="H12" s="26" t="s">
        <v>540</v>
      </c>
    </row>
    <row r="13" customFormat="false" ht="15" hidden="false" customHeight="true" outlineLevel="0" collapsed="false">
      <c r="A13" s="21"/>
      <c r="B13" s="26" t="s">
        <v>524</v>
      </c>
      <c r="C13" s="29" t="n">
        <v>0.2</v>
      </c>
      <c r="D13" s="29" t="n">
        <v>0.7</v>
      </c>
      <c r="E13" s="29" t="n">
        <v>0.1</v>
      </c>
      <c r="F13" s="28" t="n">
        <f aca="false">'S12 Sector Value Index'!H13</f>
        <v>0.1</v>
      </c>
      <c r="G13" s="28" t="n">
        <f aca="false">'S12 Sector Value Index'!J13</f>
        <v>0.07</v>
      </c>
      <c r="H13" s="26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58"/>
    <col collapsed="false" customWidth="true" hidden="false" outlineLevel="0" max="7" min="7" style="1" width="36"/>
  </cols>
  <sheetData>
    <row r="1" customFormat="false" ht="15" hidden="false" customHeight="true" outlineLevel="0" collapsed="false">
      <c r="A1" s="21"/>
      <c r="B1" s="21"/>
      <c r="C1" s="21"/>
      <c r="D1" s="21"/>
      <c r="E1" s="21"/>
      <c r="F1" s="21"/>
      <c r="G1" s="21"/>
    </row>
    <row r="2" customFormat="false" ht="108.75" hidden="false" customHeight="true" outlineLevel="0" collapsed="false">
      <c r="A2" s="21"/>
      <c r="B2" s="22" t="s">
        <v>542</v>
      </c>
      <c r="C2" s="21"/>
      <c r="D2" s="21"/>
      <c r="E2" s="21"/>
      <c r="F2" s="21"/>
      <c r="G2" s="21"/>
    </row>
    <row r="3" customFormat="false" ht="175.5" hidden="false" customHeight="true" outlineLevel="0" collapsed="false">
      <c r="A3" s="21"/>
      <c r="B3" s="23" t="s">
        <v>543</v>
      </c>
      <c r="C3" s="21"/>
      <c r="D3" s="21"/>
      <c r="E3" s="21"/>
      <c r="F3" s="21"/>
      <c r="G3" s="21"/>
    </row>
    <row r="4" customFormat="false" ht="15" hidden="false" customHeight="true" outlineLevel="0" collapsed="false">
      <c r="A4" s="21"/>
      <c r="B4" s="21"/>
      <c r="C4" s="21"/>
      <c r="D4" s="21"/>
      <c r="E4" s="21"/>
      <c r="F4" s="21"/>
      <c r="G4" s="21"/>
    </row>
    <row r="5" customFormat="false" ht="27.75" hidden="false" customHeight="true" outlineLevel="0" collapsed="false">
      <c r="A5" s="21"/>
      <c r="B5" s="24" t="s">
        <v>544</v>
      </c>
      <c r="C5" s="24" t="s">
        <v>545</v>
      </c>
      <c r="D5" s="24" t="s">
        <v>546</v>
      </c>
      <c r="E5" s="24" t="s">
        <v>547</v>
      </c>
      <c r="F5" s="24" t="s">
        <v>548</v>
      </c>
      <c r="G5" s="24" t="s">
        <v>549</v>
      </c>
    </row>
    <row r="6" customFormat="false" ht="23.25" hidden="false" customHeight="true" outlineLevel="0" collapsed="false">
      <c r="A6" s="21"/>
      <c r="B6" s="25" t="s">
        <v>137</v>
      </c>
      <c r="C6" s="25" t="s">
        <v>137</v>
      </c>
      <c r="D6" s="25" t="s">
        <v>146</v>
      </c>
      <c r="E6" s="25" t="s">
        <v>398</v>
      </c>
      <c r="F6" s="26" t="s">
        <v>550</v>
      </c>
      <c r="G6" s="26" t="s">
        <v>551</v>
      </c>
    </row>
    <row r="7" customFormat="false" ht="23.25" hidden="false" customHeight="true" outlineLevel="0" collapsed="false">
      <c r="A7" s="21"/>
      <c r="B7" s="25" t="s">
        <v>137</v>
      </c>
      <c r="C7" s="25" t="s">
        <v>552</v>
      </c>
      <c r="D7" s="25" t="s">
        <v>552</v>
      </c>
      <c r="E7" s="25" t="s">
        <v>553</v>
      </c>
      <c r="F7" s="26" t="s">
        <v>554</v>
      </c>
      <c r="G7" s="26" t="s">
        <v>555</v>
      </c>
    </row>
    <row r="8" customFormat="false" ht="23.25" hidden="false" customHeight="true" outlineLevel="0" collapsed="false">
      <c r="A8" s="21"/>
      <c r="B8" s="25" t="s">
        <v>552</v>
      </c>
      <c r="C8" s="25" t="s">
        <v>552</v>
      </c>
      <c r="D8" s="25" t="s">
        <v>552</v>
      </c>
      <c r="E8" s="25" t="s">
        <v>556</v>
      </c>
      <c r="F8" s="26" t="s">
        <v>557</v>
      </c>
      <c r="G8" s="26" t="s">
        <v>558</v>
      </c>
    </row>
    <row r="9" customFormat="false" ht="23.25" hidden="false" customHeight="true" outlineLevel="0" collapsed="false">
      <c r="A9" s="21"/>
      <c r="B9" s="25" t="s">
        <v>552</v>
      </c>
      <c r="C9" s="25" t="s">
        <v>559</v>
      </c>
      <c r="D9" s="25" t="s">
        <v>137</v>
      </c>
      <c r="E9" s="26" t="s">
        <v>560</v>
      </c>
      <c r="F9" s="26" t="s">
        <v>561</v>
      </c>
      <c r="G9" s="26" t="s">
        <v>562</v>
      </c>
    </row>
    <row r="10" customFormat="false" ht="23.25" hidden="false" customHeight="true" outlineLevel="0" collapsed="false">
      <c r="A10" s="21"/>
      <c r="B10" s="25" t="s">
        <v>559</v>
      </c>
      <c r="C10" s="25" t="s">
        <v>559</v>
      </c>
      <c r="D10" s="25" t="s">
        <v>137</v>
      </c>
      <c r="E10" s="26" t="s">
        <v>563</v>
      </c>
      <c r="F10" s="26" t="s">
        <v>564</v>
      </c>
      <c r="G10" s="26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4" min="3" style="1" width="24"/>
    <col collapsed="false" customWidth="true" hidden="false" outlineLevel="0" max="5" min="5" style="1" width="50"/>
    <col collapsed="false" customWidth="true" hidden="false" outlineLevel="0" max="6" min="6" style="1" width="52"/>
    <col collapsed="false" customWidth="true" hidden="false" outlineLevel="0" max="7" min="7" style="1" width="42"/>
  </cols>
  <sheetData>
    <row r="1" customFormat="false" ht="15" hidden="false" customHeight="true" outlineLevel="0" collapsed="false">
      <c r="A1" s="21"/>
      <c r="B1" s="21"/>
      <c r="C1" s="21"/>
      <c r="D1" s="21"/>
      <c r="E1" s="21"/>
      <c r="F1" s="21"/>
      <c r="G1" s="21"/>
    </row>
    <row r="2" customFormat="false" ht="36.75" hidden="false" customHeight="true" outlineLevel="0" collapsed="false">
      <c r="A2" s="21"/>
      <c r="B2" s="22" t="s">
        <v>566</v>
      </c>
      <c r="C2" s="21"/>
      <c r="D2" s="21"/>
      <c r="E2" s="21"/>
      <c r="F2" s="21"/>
      <c r="G2" s="21"/>
    </row>
    <row r="3" customFormat="false" ht="68.25" hidden="false" customHeight="true" outlineLevel="0" collapsed="false">
      <c r="A3" s="21"/>
      <c r="B3" s="23" t="s">
        <v>567</v>
      </c>
      <c r="C3" s="21"/>
      <c r="D3" s="21"/>
      <c r="E3" s="21"/>
      <c r="F3" s="21"/>
      <c r="G3" s="21"/>
    </row>
    <row r="4" customFormat="false" ht="15" hidden="false" customHeight="true" outlineLevel="0" collapsed="false">
      <c r="A4" s="21"/>
      <c r="B4" s="21"/>
      <c r="C4" s="21"/>
      <c r="D4" s="21"/>
      <c r="E4" s="21"/>
      <c r="F4" s="21"/>
      <c r="G4" s="21"/>
    </row>
    <row r="5" customFormat="false" ht="15" hidden="false" customHeight="true" outlineLevel="0" collapsed="false">
      <c r="A5" s="21"/>
      <c r="B5" s="24" t="s">
        <v>568</v>
      </c>
      <c r="C5" s="24" t="s">
        <v>33</v>
      </c>
      <c r="D5" s="24" t="s">
        <v>569</v>
      </c>
      <c r="E5" s="24" t="s">
        <v>570</v>
      </c>
      <c r="F5" s="24" t="s">
        <v>571</v>
      </c>
      <c r="G5" s="24" t="s">
        <v>495</v>
      </c>
    </row>
    <row r="6" customFormat="false" ht="34.5" hidden="false" customHeight="true" outlineLevel="0" collapsed="false">
      <c r="A6" s="21"/>
      <c r="B6" s="26" t="s">
        <v>572</v>
      </c>
      <c r="C6" s="26" t="s">
        <v>573</v>
      </c>
      <c r="D6" s="26" t="s">
        <v>574</v>
      </c>
      <c r="E6" s="26" t="s">
        <v>575</v>
      </c>
      <c r="F6" s="26" t="s">
        <v>576</v>
      </c>
      <c r="G6" s="26" t="s">
        <v>577</v>
      </c>
    </row>
    <row r="7" customFormat="false" ht="23.25" hidden="false" customHeight="true" outlineLevel="0" collapsed="false">
      <c r="A7" s="21"/>
      <c r="B7" s="26" t="s">
        <v>578</v>
      </c>
      <c r="C7" s="26" t="s">
        <v>579</v>
      </c>
      <c r="D7" s="26" t="s">
        <v>580</v>
      </c>
      <c r="E7" s="26" t="s">
        <v>581</v>
      </c>
      <c r="F7" s="26" t="s">
        <v>582</v>
      </c>
      <c r="G7" s="26" t="s">
        <v>583</v>
      </c>
    </row>
    <row r="8" customFormat="false" ht="23.25" hidden="false" customHeight="true" outlineLevel="0" collapsed="false">
      <c r="A8" s="21"/>
      <c r="B8" s="26" t="s">
        <v>584</v>
      </c>
      <c r="C8" s="26" t="s">
        <v>585</v>
      </c>
      <c r="D8" s="26" t="s">
        <v>586</v>
      </c>
      <c r="E8" s="26" t="s">
        <v>587</v>
      </c>
      <c r="F8" s="26" t="s">
        <v>588</v>
      </c>
      <c r="G8" s="26" t="s">
        <v>589</v>
      </c>
    </row>
    <row r="9" customFormat="false" ht="23.25" hidden="false" customHeight="true" outlineLevel="0" collapsed="false">
      <c r="A9" s="21"/>
      <c r="B9" s="26" t="s">
        <v>590</v>
      </c>
      <c r="C9" s="26" t="s">
        <v>591</v>
      </c>
      <c r="D9" s="26" t="s">
        <v>592</v>
      </c>
      <c r="E9" s="26" t="s">
        <v>593</v>
      </c>
      <c r="F9" s="26" t="s">
        <v>594</v>
      </c>
      <c r="G9" s="26" t="s">
        <v>595</v>
      </c>
    </row>
    <row r="10" customFormat="false" ht="34.5" hidden="false" customHeight="true" outlineLevel="0" collapsed="false">
      <c r="A10" s="21"/>
      <c r="B10" s="26" t="s">
        <v>596</v>
      </c>
      <c r="C10" s="26" t="s">
        <v>414</v>
      </c>
      <c r="D10" s="26" t="s">
        <v>597</v>
      </c>
      <c r="E10" s="26" t="s">
        <v>598</v>
      </c>
      <c r="F10" s="26" t="s">
        <v>599</v>
      </c>
      <c r="G10" s="26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2026-05-13T04:28:20Z</dcterms:created>
  <dc:creator>openpyxl</dc:creator>
  <dc:description/>
  <dc:language>en-US</dc:language>
  <cp:lastModifiedBy/>
  <dcterms:modified xsi:type="dcterms:W3CDTF">2026-05-13T04:50:14Z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