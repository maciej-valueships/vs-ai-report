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drawings/drawing9.xml" ContentType="application/vnd.openxmlformats-officedocument.drawing+xml"/>
  <Override PartName="/xl/worksheets/sheet15.xml" ContentType="application/vnd.openxmlformats-officedocument.spreadsheetml.worksheet+xml"/>
  <Override PartName="/xl/drawings/drawing10.xml" ContentType="application/vnd.openxmlformats-officedocument.drawing+xml"/>
  <Override PartName="/xl/worksheets/sheet16.xml" ContentType="application/vnd.openxmlformats-officedocument.spreadsheetml.worksheet+xml"/>
  <Override PartName="/xl/drawings/drawing11.xml" ContentType="application/vnd.openxmlformats-officedocument.drawing+xml"/>
  <Override PartName="/xl/worksheets/sheet17.xml" ContentType="application/vnd.openxmlformats-officedocument.spreadsheetml.worksheet+xml"/>
  <Override PartName="/xl/drawings/drawing12.xml" ContentType="application/vnd.openxmlformats-officedocument.drawing+xml"/>
  <Override PartName="/xl/worksheets/sheet18.xml" ContentType="application/vnd.openxmlformats-officedocument.spreadsheetml.worksheet+xml"/>
  <Override PartName="/xl/drawings/drawing13.xml" ContentType="application/vnd.openxmlformats-officedocument.drawing+xml"/>
  <Override PartName="/xl/worksheets/sheet19.xml" ContentType="application/vnd.openxmlformats-officedocument.spreadsheetml.worksheet+xml"/>
  <Override PartName="/xl/drawings/drawing14.xml" ContentType="application/vnd.openxmlformats-officedocument.drawing+xml"/>
  <Override PartName="/xl/worksheets/sheet20.xml" ContentType="application/vnd.openxmlformats-officedocument.spreadsheetml.worksheet+xml"/>
  <Override PartName="/xl/drawings/drawing15.xml" ContentType="application/vnd.openxmlformats-officedocument.drawing+xml"/>
  <Override PartName="/xl/worksheets/sheet21.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drawings/drawing17.xml" ContentType="application/vnd.openxmlformats-officedocument.drawing+xml"/>
  <Override PartName="/xl/worksheets/sheet23.xml" ContentType="application/vnd.openxmlformats-officedocument.spreadsheetml.worksheet+xml"/>
  <Override PartName="/xl/drawings/drawing18.xml" ContentType="application/vnd.openxmlformats-officedocument.drawing+xml"/>
  <Override PartName="/xl/worksheets/sheet24.xml" ContentType="application/vnd.openxmlformats-officedocument.spreadsheetml.worksheet+xml"/>
  <Override PartName="/xl/drawings/drawing19.xml" ContentType="application/vnd.openxmlformats-officedocument.drawing+xml"/>
  <Override PartName="/xl/worksheets/sheet25.xml" ContentType="application/vnd.openxmlformats-officedocument.spreadsheetml.worksheet+xml"/>
  <Override PartName="/xl/drawings/drawing20.xml" ContentType="application/vnd.openxmlformats-officedocument.drawing+xml"/>
  <Override PartName="/xl/worksheets/sheet26.xml" ContentType="application/vnd.openxmlformats-officedocument.spreadsheetml.worksheet+xml"/>
  <Override PartName="/xl/drawings/drawing21.xml" ContentType="application/vnd.openxmlformats-officedocument.drawing+xml"/>
  <Override PartName="/xl/worksheets/sheet27.xml" ContentType="application/vnd.openxmlformats-officedocument.spreadsheetml.worksheet+xml"/>
  <Override PartName="/xl/drawings/drawing22.xml" ContentType="application/vnd.openxmlformats-officedocument.drawing+xml"/>
  <Override PartName="/xl/worksheets/sheet28.xml" ContentType="application/vnd.openxmlformats-officedocument.spreadsheetml.worksheet+xml"/>
  <Override PartName="/xl/drawings/drawing23.xml" ContentType="application/vnd.openxmlformats-officedocument.drawing+xml"/>
  <Override PartName="/xl/worksheets/sheet29.xml" ContentType="application/vnd.openxmlformats-officedocument.spreadsheetml.worksheet+xml"/>
  <Override PartName="/xl/drawings/drawing24.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25.xml" ContentType="application/vnd.openxmlformats-officedocument.drawing+xml"/>
  <Override PartName="/xl/worksheets/sheet34.xml" ContentType="application/vnd.openxmlformats-officedocument.spreadsheetml.worksheet+xml"/>
  <Override PartName="/xl/drawings/drawing26.xml" ContentType="application/vnd.openxmlformats-officedocument.drawing+xml"/>
  <Override PartName="/xl/worksheets/sheet35.xml" ContentType="application/vnd.openxmlformats-officedocument.spreadsheetml.worksheet+xml"/>
  <Override PartName="/xl/drawings/drawing27.xml" ContentType="application/vnd.openxmlformats-officedocument.drawing+xml"/>
  <Override PartName="/xl/worksheets/sheet36.xml" ContentType="application/vnd.openxmlformats-officedocument.spreadsheetml.worksheet+xml"/>
  <Override PartName="/xl/drawings/drawing28.xml" ContentType="application/vnd.openxmlformats-officedocument.drawing+xml"/>
  <Override PartName="/xl/worksheets/sheet37.xml" ContentType="application/vnd.openxmlformats-officedocument.spreadsheetml.worksheet+xml"/>
  <Override PartName="/xl/drawings/drawing29.xml" ContentType="application/vnd.openxmlformats-officedocument.drawing+xml"/>
  <Override PartName="/xl/worksheets/sheet38.xml" ContentType="application/vnd.openxmlformats-officedocument.spreadsheetml.worksheet+xml"/>
  <Override PartName="/xl/drawings/drawing30.xml" ContentType="application/vnd.openxmlformats-officedocument.drawing+xml"/>
  <Override PartName="/xl/worksheets/sheet39.xml" ContentType="application/vnd.openxmlformats-officedocument.spreadsheetml.worksheet+xml"/>
  <Override PartName="/xl/drawings/drawing31.xml" ContentType="application/vnd.openxmlformats-officedocument.drawing+xml"/>
  <Override PartName="/xl/worksheets/sheet40.xml" ContentType="application/vnd.openxmlformats-officedocument.spreadsheetml.worksheet+xml"/>
  <Override PartName="/xl/drawings/drawing32.xml" ContentType="application/vnd.openxmlformats-officedocument.drawing+xml"/>
  <Override PartName="/xl/worksheets/sheet41.xml" ContentType="application/vnd.openxmlformats-officedocument.spreadsheetml.worksheet+xml"/>
  <Override PartName="/xl/drawings/drawing33.xml" ContentType="application/vnd.openxmlformats-officedocument.drawing+xml"/>
  <Override PartName="/xl/worksheets/sheet42.xml" ContentType="application/vnd.openxmlformats-officedocument.spreadsheetml.worksheet+xml"/>
  <Override PartName="/xl/drawings/drawing34.xml" ContentType="application/vnd.openxmlformats-officedocument.drawing+xml"/>
  <Override PartName="/xl/worksheets/sheet43.xml" ContentType="application/vnd.openxmlformats-officedocument.spreadsheetml.worksheet+xml"/>
  <Override PartName="/xl/drawings/drawing35.xml" ContentType="application/vnd.openxmlformats-officedocument.drawing+xml"/>
  <Override PartName="/xl/worksheets/sheet44.xml" ContentType="application/vnd.openxmlformats-officedocument.spreadsheetml.worksheet+xml"/>
  <Override PartName="/xl/drawings/drawing36.xml" ContentType="application/vnd.openxmlformats-officedocument.drawing+xml"/>
  <Override PartName="/xl/worksheets/sheet45.xml" ContentType="application/vnd.openxmlformats-officedocument.spreadsheetml.worksheet+xml"/>
  <Override PartName="/xl/drawings/drawing37.xml" ContentType="application/vnd.openxmlformats-officedocument.drawing+xml"/>
  <Override PartName="/xl/worksheets/sheet46.xml" ContentType="application/vnd.openxmlformats-officedocument.spreadsheetml.worksheet+xml"/>
  <Override PartName="/xl/drawings/drawing38.xml" ContentType="application/vnd.openxmlformats-officedocument.drawing+xml"/>
  <Override PartName="/xl/worksheets/sheet47.xml" ContentType="application/vnd.openxmlformats-officedocument.spreadsheetml.worksheet+xml"/>
  <Override PartName="/xl/drawings/drawing39.xml" ContentType="application/vnd.openxmlformats-officedocument.drawing+xml"/>
  <Override PartName="/xl/worksheets/sheet48.xml" ContentType="application/vnd.openxmlformats-officedocument.spreadsheetml.worksheet+xml"/>
  <Override PartName="/xl/worksheets/sheet49.xml" ContentType="application/vnd.openxmlformats-officedocument.spreadsheetml.worksheet+xml"/>
  <Override PartName="/xl/drawings/drawing40.xml" ContentType="application/vnd.openxmlformats-officedocument.drawing+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drawings/drawing41.xml" ContentType="application/vnd.openxmlformats-officedocument.drawing+xml"/>
  <Override PartName="/xl/worksheets/sheet55.xml" ContentType="application/vnd.openxmlformats-officedocument.spreadsheetml.worksheet+xml"/>
  <Override PartName="/xl/drawings/drawing42.xml" ContentType="application/vnd.openxmlformats-officedocument.drawing+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drawings/drawing43.xml" ContentType="application/vnd.openxmlformats-officedocument.drawing+xml"/>
  <Override PartName="/xl/worksheets/sheet59.xml" ContentType="application/vnd.openxmlformats-officedocument.spreadsheetml.worksheet+xml"/>
  <Override PartName="/xl/drawings/drawing44.xml" ContentType="application/vnd.openxmlformats-officedocument.drawing+xml"/>
  <Override PartName="/xl/worksheets/sheet60.xml" ContentType="application/vnd.openxmlformats-officedocument.spreadsheetml.worksheet+xml"/>
  <Override PartName="/xl/worksheets/sheet61.xml" ContentType="application/vnd.openxmlformats-officedocument.spreadsheetml.worksheet+xml"/>
  <Override PartName="/xl/drawings/drawing45.xml" ContentType="application/vnd.openxmlformats-officedocument.drawing+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Cover" sheetId="1" state="visible" r:id="rId1"/>
    <sheet xmlns:r="http://schemas.openxmlformats.org/officeDocument/2006/relationships" name="01 Contents" sheetId="2" state="visible" r:id="rId2"/>
    <sheet xmlns:r="http://schemas.openxmlformats.org/officeDocument/2006/relationships" name="EX01" sheetId="3" state="visible" r:id="rId3"/>
    <sheet xmlns:r="http://schemas.openxmlformats.org/officeDocument/2006/relationships" name="LAD01" sheetId="4" state="visible" r:id="rId4"/>
    <sheet xmlns:r="http://schemas.openxmlformats.org/officeDocument/2006/relationships" name="AAR01" sheetId="5" state="visible" r:id="rId5"/>
    <sheet xmlns:r="http://schemas.openxmlformats.org/officeDocument/2006/relationships" name="SPD01" sheetId="6" state="visible" r:id="rId6"/>
    <sheet xmlns:r="http://schemas.openxmlformats.org/officeDocument/2006/relationships" name="IDX01" sheetId="7" state="visible" r:id="rId7"/>
    <sheet xmlns:r="http://schemas.openxmlformats.org/officeDocument/2006/relationships" name="IDX02" sheetId="8" state="visible" r:id="rId8"/>
    <sheet xmlns:r="http://schemas.openxmlformats.org/officeDocument/2006/relationships" name="HY01" sheetId="9" state="visible" r:id="rId9"/>
    <sheet xmlns:r="http://schemas.openxmlformats.org/officeDocument/2006/relationships" name="HY02" sheetId="10" state="visible" r:id="rId10"/>
    <sheet xmlns:r="http://schemas.openxmlformats.org/officeDocument/2006/relationships" name="M01" sheetId="11" state="visible" r:id="rId11"/>
    <sheet xmlns:r="http://schemas.openxmlformats.org/officeDocument/2006/relationships" name="M02" sheetId="12" state="visible" r:id="rId12"/>
    <sheet xmlns:r="http://schemas.openxmlformats.org/officeDocument/2006/relationships" name="M03" sheetId="13" state="visible" r:id="rId13"/>
    <sheet xmlns:r="http://schemas.openxmlformats.org/officeDocument/2006/relationships" name="M04" sheetId="14" state="visible" r:id="rId14"/>
    <sheet xmlns:r="http://schemas.openxmlformats.org/officeDocument/2006/relationships" name="M05" sheetId="15" state="visible" r:id="rId15"/>
    <sheet xmlns:r="http://schemas.openxmlformats.org/officeDocument/2006/relationships" name="M06" sheetId="16" state="visible" r:id="rId16"/>
    <sheet xmlns:r="http://schemas.openxmlformats.org/officeDocument/2006/relationships" name="M07" sheetId="17" state="visible" r:id="rId17"/>
    <sheet xmlns:r="http://schemas.openxmlformats.org/officeDocument/2006/relationships" name="CX01" sheetId="18" state="visible" r:id="rId18"/>
    <sheet xmlns:r="http://schemas.openxmlformats.org/officeDocument/2006/relationships" name="HX01" sheetId="19" state="visible" r:id="rId19"/>
    <sheet xmlns:r="http://schemas.openxmlformats.org/officeDocument/2006/relationships" name="ST01" sheetId="20" state="visible" r:id="rId20"/>
    <sheet xmlns:r="http://schemas.openxmlformats.org/officeDocument/2006/relationships" name="ST02" sheetId="21" state="visible" r:id="rId21"/>
    <sheet xmlns:r="http://schemas.openxmlformats.org/officeDocument/2006/relationships" name="ST03" sheetId="22" state="visible" r:id="rId22"/>
    <sheet xmlns:r="http://schemas.openxmlformats.org/officeDocument/2006/relationships" name="ST04" sheetId="23" state="visible" r:id="rId23"/>
    <sheet xmlns:r="http://schemas.openxmlformats.org/officeDocument/2006/relationships" name="ST05" sheetId="24" state="visible" r:id="rId24"/>
    <sheet xmlns:r="http://schemas.openxmlformats.org/officeDocument/2006/relationships" name="ST06" sheetId="25" state="visible" r:id="rId25"/>
    <sheet xmlns:r="http://schemas.openxmlformats.org/officeDocument/2006/relationships" name="ST07" sheetId="26" state="visible" r:id="rId26"/>
    <sheet xmlns:r="http://schemas.openxmlformats.org/officeDocument/2006/relationships" name="ST08" sheetId="27" state="visible" r:id="rId27"/>
    <sheet xmlns:r="http://schemas.openxmlformats.org/officeDocument/2006/relationships" name="ST09" sheetId="28" state="visible" r:id="rId28"/>
    <sheet xmlns:r="http://schemas.openxmlformats.org/officeDocument/2006/relationships" name="ST10" sheetId="29" state="visible" r:id="rId29"/>
    <sheet xmlns:r="http://schemas.openxmlformats.org/officeDocument/2006/relationships" name="ST11" sheetId="30" state="visible" r:id="rId30"/>
    <sheet xmlns:r="http://schemas.openxmlformats.org/officeDocument/2006/relationships" name="ST12" sheetId="31" state="visible" r:id="rId31"/>
    <sheet xmlns:r="http://schemas.openxmlformats.org/officeDocument/2006/relationships" name="ST13" sheetId="32" state="visible" r:id="rId32"/>
    <sheet xmlns:r="http://schemas.openxmlformats.org/officeDocument/2006/relationships" name="S01" sheetId="33" state="visible" r:id="rId33"/>
    <sheet xmlns:r="http://schemas.openxmlformats.org/officeDocument/2006/relationships" name="S02" sheetId="34" state="visible" r:id="rId34"/>
    <sheet xmlns:r="http://schemas.openxmlformats.org/officeDocument/2006/relationships" name="S03" sheetId="35" state="visible" r:id="rId35"/>
    <sheet xmlns:r="http://schemas.openxmlformats.org/officeDocument/2006/relationships" name="S04" sheetId="36" state="visible" r:id="rId36"/>
    <sheet xmlns:r="http://schemas.openxmlformats.org/officeDocument/2006/relationships" name="S05" sheetId="37" state="visible" r:id="rId37"/>
    <sheet xmlns:r="http://schemas.openxmlformats.org/officeDocument/2006/relationships" name="S06" sheetId="38" state="visible" r:id="rId38"/>
    <sheet xmlns:r="http://schemas.openxmlformats.org/officeDocument/2006/relationships" name="S07" sheetId="39" state="visible" r:id="rId39"/>
    <sheet xmlns:r="http://schemas.openxmlformats.org/officeDocument/2006/relationships" name="S08" sheetId="40" state="visible" r:id="rId40"/>
    <sheet xmlns:r="http://schemas.openxmlformats.org/officeDocument/2006/relationships" name="S09" sheetId="41" state="visible" r:id="rId41"/>
    <sheet xmlns:r="http://schemas.openxmlformats.org/officeDocument/2006/relationships" name="S10" sheetId="42" state="visible" r:id="rId42"/>
    <sheet xmlns:r="http://schemas.openxmlformats.org/officeDocument/2006/relationships" name="S11" sheetId="43" state="visible" r:id="rId43"/>
    <sheet xmlns:r="http://schemas.openxmlformats.org/officeDocument/2006/relationships" name="S12" sheetId="44" state="visible" r:id="rId44"/>
    <sheet xmlns:r="http://schemas.openxmlformats.org/officeDocument/2006/relationships" name="C01" sheetId="45" state="visible" r:id="rId45"/>
    <sheet xmlns:r="http://schemas.openxmlformats.org/officeDocument/2006/relationships" name="C02" sheetId="46" state="visible" r:id="rId46"/>
    <sheet xmlns:r="http://schemas.openxmlformats.org/officeDocument/2006/relationships" name="C03" sheetId="47" state="visible" r:id="rId47"/>
    <sheet xmlns:r="http://schemas.openxmlformats.org/officeDocument/2006/relationships" name="C04" sheetId="48" state="visible" r:id="rId48"/>
    <sheet xmlns:r="http://schemas.openxmlformats.org/officeDocument/2006/relationships" name="C05" sheetId="49" state="visible" r:id="rId49"/>
    <sheet xmlns:r="http://schemas.openxmlformats.org/officeDocument/2006/relationships" name="Z01" sheetId="50" state="visible" r:id="rId50"/>
    <sheet xmlns:r="http://schemas.openxmlformats.org/officeDocument/2006/relationships" name="Z02" sheetId="51" state="visible" r:id="rId51"/>
    <sheet xmlns:r="http://schemas.openxmlformats.org/officeDocument/2006/relationships" name="Z03" sheetId="52" state="visible" r:id="rId52"/>
    <sheet xmlns:r="http://schemas.openxmlformats.org/officeDocument/2006/relationships" name="Z04" sheetId="53" state="visible" r:id="rId53"/>
    <sheet xmlns:r="http://schemas.openxmlformats.org/officeDocument/2006/relationships" name="V01" sheetId="54" state="visible" r:id="rId54"/>
    <sheet xmlns:r="http://schemas.openxmlformats.org/officeDocument/2006/relationships" name="V02" sheetId="55" state="visible" r:id="rId55"/>
    <sheet xmlns:r="http://schemas.openxmlformats.org/officeDocument/2006/relationships" name="V03" sheetId="56" state="visible" r:id="rId56"/>
    <sheet xmlns:r="http://schemas.openxmlformats.org/officeDocument/2006/relationships" name="V04" sheetId="57" state="visible" r:id="rId57"/>
    <sheet xmlns:r="http://schemas.openxmlformats.org/officeDocument/2006/relationships" name="V05" sheetId="58" state="visible" r:id="rId58"/>
    <sheet xmlns:r="http://schemas.openxmlformats.org/officeDocument/2006/relationships" name="VI01" sheetId="59" state="visible" r:id="rId59"/>
    <sheet xmlns:r="http://schemas.openxmlformats.org/officeDocument/2006/relationships" name="VI02" sheetId="60" state="visible" r:id="rId60"/>
    <sheet xmlns:r="http://schemas.openxmlformats.org/officeDocument/2006/relationships" name="VI03" sheetId="61" state="visible" r:id="rId61"/>
    <sheet xmlns:r="http://schemas.openxmlformats.org/officeDocument/2006/relationships" name="PR01" sheetId="62" state="visible" r:id="rId62"/>
    <sheet xmlns:r="http://schemas.openxmlformats.org/officeDocument/2006/relationships" name="PR02" sheetId="63" state="visible" r:id="rId63"/>
    <sheet xmlns:r="http://schemas.openxmlformats.org/officeDocument/2006/relationships" name="VPQ01" sheetId="64" state="visible" r:id="rId64"/>
  </sheets>
  <definedNames/>
  <calcPr calcId="124519" fullCalcOnLoad="1" refMode="A1" iterate="0" iterateCount="100" iterateDelta="0.0001"/>
</workbook>
</file>

<file path=xl/styles.xml><?xml version="1.0" encoding="utf-8"?>
<styleSheet xmlns="http://schemas.openxmlformats.org/spreadsheetml/2006/main">
  <numFmts count="7">
    <numFmt numFmtId="164" formatCode="0.0%"/>
    <numFmt numFmtId="165" formatCode="\$#,##0"/>
    <numFmt numFmtId="166" formatCode="0.0\x"/>
    <numFmt numFmtId="167" formatCode="0%;[RED]\-0%"/>
    <numFmt numFmtId="168" formatCode="0.0\%"/>
    <numFmt numFmtId="169" formatCode="0.00&quot;%&quot;"/>
    <numFmt numFmtId="170" formatCode="0.000"/>
  </numFmts>
  <fonts count="37">
    <font>
      <name val="Calibri"/>
      <charset val="1"/>
      <family val="2"/>
      <color theme="1"/>
      <sz val="11"/>
    </font>
    <font>
      <name val="Arial"/>
      <family val="0"/>
      <sz val="10"/>
    </font>
    <font>
      <name val="Arial"/>
      <family val="0"/>
      <sz val="10"/>
    </font>
    <font>
      <name val="Arial"/>
      <family val="0"/>
      <sz val="10"/>
    </font>
    <font>
      <name val="Arial"/>
      <charset val="1"/>
      <family val="0"/>
      <b val="1"/>
      <color rgb="FF002B5C"/>
      <sz val="24"/>
    </font>
    <font>
      <name val="Arial"/>
      <charset val="1"/>
      <family val="0"/>
      <i val="1"/>
      <color rgb="FF595959"/>
      <sz val="13"/>
    </font>
    <font>
      <name val="Arial"/>
      <charset val="1"/>
      <family val="0"/>
      <color rgb="FF595959"/>
      <sz val="10"/>
    </font>
    <font>
      <name val="Arial"/>
      <charset val="1"/>
      <family val="0"/>
      <b val="1"/>
      <color rgb="FFFFFFFF"/>
      <sz val="12"/>
    </font>
    <font>
      <name val="Arial"/>
      <charset val="1"/>
      <family val="0"/>
      <color rgb="FF000000"/>
      <sz val="11"/>
    </font>
    <font>
      <name val="Arial"/>
      <charset val="1"/>
      <family val="0"/>
      <color rgb="FF000000"/>
      <sz val="10"/>
    </font>
    <font>
      <name val="Arial"/>
      <charset val="1"/>
      <family val="0"/>
      <i val="1"/>
      <color rgb="FF0563C1"/>
      <sz val="9"/>
      <u val="single"/>
    </font>
    <font>
      <name val="Arial"/>
      <charset val="1"/>
      <family val="0"/>
      <b val="1"/>
      <color rgb="FFFFFFFF"/>
      <sz val="14"/>
    </font>
    <font>
      <name val="Arial"/>
      <charset val="1"/>
      <family val="0"/>
      <b val="1"/>
      <color rgb="FFFFFFFF"/>
      <sz val="10"/>
    </font>
    <font>
      <name val="Arial"/>
      <charset val="1"/>
      <family val="0"/>
      <i val="1"/>
      <color rgb="FFFFFFFF"/>
      <sz val="10"/>
    </font>
    <font>
      <name val="Arial"/>
      <charset val="1"/>
      <family val="0"/>
      <b val="1"/>
      <color rgb="FF002B5C"/>
      <sz val="11"/>
    </font>
    <font>
      <name val="Arial"/>
      <charset val="1"/>
      <family val="0"/>
      <b val="1"/>
      <color rgb="FF002B5C"/>
      <sz val="10"/>
    </font>
    <font>
      <name val="Arial"/>
      <charset val="1"/>
      <family val="0"/>
      <b val="1"/>
      <color rgb="FF0000FF"/>
      <sz val="10"/>
    </font>
    <font>
      <name val="Arial"/>
      <charset val="1"/>
      <family val="0"/>
      <b val="1"/>
      <color rgb="FF000000"/>
      <sz val="10"/>
    </font>
    <font>
      <name val="Calibri"/>
      <family val="2"/>
      <b val="1"/>
      <color rgb="FF000000"/>
      <sz val="18"/>
    </font>
    <font>
      <name val="Calibri"/>
      <family val="2"/>
      <color rgb="FF000000"/>
      <sz val="10"/>
    </font>
    <font>
      <name val="Arial"/>
      <b val="1"/>
      <color rgb="00FFFFFF"/>
      <sz val="14"/>
    </font>
    <font>
      <name val="Arial"/>
      <i val="1"/>
      <color rgb="00FFFFFF"/>
      <sz val="10"/>
    </font>
    <font>
      <name val="Arial"/>
      <b val="1"/>
      <color rgb="00002B5C"/>
      <sz val="11"/>
    </font>
    <font>
      <name val="Arial"/>
      <b val="1"/>
      <color rgb="00FFFFFF"/>
      <sz val="10"/>
    </font>
    <font>
      <name val="Arial"/>
      <color rgb="00000000"/>
      <sz val="10"/>
    </font>
    <font>
      <name val="Arial"/>
      <b val="1"/>
      <color rgb="00002B5C"/>
      <sz val="10"/>
    </font>
    <font>
      <name val="Arial"/>
      <i val="1"/>
      <color rgb="000563C1"/>
      <sz val="9"/>
      <u val="single"/>
    </font>
    <font>
      <name val="Arial"/>
      <b val="1"/>
      <color rgb="00000000"/>
      <sz val="10"/>
    </font>
    <font>
      <name val="Arial"/>
      <b val="1"/>
      <color rgb="00FFFFFF"/>
      <sz val="12"/>
    </font>
    <font>
      <name val="Arial"/>
      <b val="1"/>
      <i val="1"/>
      <color rgb="00002B5C"/>
      <sz val="13"/>
    </font>
    <font>
      <name val="Lato"/>
      <b val="1"/>
      <color rgb="00FFFFFF"/>
      <sz val="14"/>
    </font>
    <font>
      <name val="Lato"/>
      <i val="1"/>
      <color rgb="00FFFFFF"/>
      <sz val="10"/>
    </font>
    <font>
      <name val="Lato"/>
      <b val="1"/>
      <color rgb="00080808"/>
      <sz val="11"/>
    </font>
    <font>
      <name val="Roboto"/>
      <color rgb="00080808"/>
      <sz val="10"/>
    </font>
    <font>
      <name val="Lato"/>
      <b val="1"/>
      <color rgb="00FFFFFF"/>
      <sz val="10"/>
    </font>
    <font>
      <name val="Lato"/>
      <b val="1"/>
      <color rgb="00080808"/>
      <sz val="10"/>
    </font>
    <font>
      <name val="Roboto"/>
      <i val="1"/>
      <color rgb="000563C1"/>
      <sz val="9"/>
      <u val="single"/>
    </font>
  </fonts>
  <fills count="26">
    <fill>
      <patternFill/>
    </fill>
    <fill>
      <patternFill patternType="gray125"/>
    </fill>
    <fill>
      <patternFill patternType="solid">
        <fgColor rgb="FF002B5C"/>
        <bgColor rgb="FF003300"/>
      </patternFill>
    </fill>
    <fill>
      <patternFill patternType="solid">
        <fgColor rgb="FFF2F2F2"/>
        <bgColor rgb="FFEEEEEE"/>
      </patternFill>
    </fill>
    <fill>
      <patternFill patternType="solid">
        <fgColor rgb="FF1F77B4"/>
        <bgColor rgb="FF0563C1"/>
      </patternFill>
    </fill>
    <fill>
      <patternFill patternType="solid">
        <fgColor rgb="FFFAFAFA"/>
        <bgColor rgb="FFFFFFFF"/>
      </patternFill>
    </fill>
    <fill>
      <patternFill patternType="solid">
        <fgColor rgb="FFFFF2CC"/>
        <bgColor rgb="FFF2F2F2"/>
      </patternFill>
    </fill>
    <fill>
      <patternFill patternType="solid">
        <fgColor rgb="FFC6EFCE"/>
        <bgColor rgb="FFD9D9D9"/>
      </patternFill>
    </fill>
    <fill>
      <patternFill patternType="solid">
        <fgColor rgb="FFFFEB9C"/>
        <bgColor rgb="FFFFF2CC"/>
      </patternFill>
    </fill>
    <fill>
      <patternFill patternType="solid">
        <fgColor rgb="FFFFC7CE"/>
        <bgColor rgb="FFD9D9D9"/>
      </patternFill>
    </fill>
    <fill>
      <patternFill patternType="solid">
        <fgColor rgb="FFEEEEEE"/>
        <bgColor rgb="FFF2F2F2"/>
      </patternFill>
    </fill>
    <fill>
      <patternFill patternType="solid">
        <fgColor rgb="FF63BE7B"/>
        <bgColor rgb="FF4BACC6"/>
      </patternFill>
    </fill>
    <fill>
      <patternFill patternType="solid">
        <fgColor rgb="00002B5C"/>
      </patternFill>
    </fill>
    <fill>
      <patternFill patternType="solid">
        <fgColor rgb="001F77B4"/>
      </patternFill>
    </fill>
    <fill>
      <patternFill patternType="solid">
        <fgColor rgb="00FAFAFA"/>
      </patternFill>
    </fill>
    <fill>
      <patternFill patternType="solid">
        <fgColor rgb="00F2F2F2"/>
      </patternFill>
    </fill>
    <fill>
      <patternFill patternType="solid">
        <fgColor rgb="00C6EFCE"/>
      </patternFill>
    </fill>
    <fill>
      <patternFill patternType="solid">
        <fgColor rgb="00A9D08E"/>
      </patternFill>
    </fill>
    <fill>
      <patternFill patternType="solid">
        <fgColor rgb="00FFEB9C"/>
      </patternFill>
    </fill>
    <fill>
      <patternFill patternType="solid">
        <fgColor rgb="00F4B084"/>
      </patternFill>
    </fill>
    <fill>
      <patternFill patternType="solid">
        <fgColor rgb="00FFD966"/>
      </patternFill>
    </fill>
    <fill>
      <patternFill patternType="solid">
        <fgColor rgb="009DC3E6"/>
      </patternFill>
    </fill>
    <fill>
      <patternFill patternType="solid">
        <fgColor rgb="00FFC7CE"/>
      </patternFill>
    </fill>
    <fill>
      <patternFill patternType="solid">
        <fgColor rgb="00FF005E"/>
      </patternFill>
    </fill>
    <fill>
      <patternFill patternType="solid">
        <fgColor rgb="00FFF0F5"/>
      </patternFill>
    </fill>
    <fill>
      <patternFill patternType="solid">
        <fgColor rgb="00DEDFF5"/>
      </patternFill>
    </fill>
  </fills>
  <borders count="21">
    <border>
      <left/>
      <right/>
      <top/>
      <bottom/>
      <diagonal/>
    </border>
    <border>
      <left style="thin">
        <color rgb="FFD9D9D9"/>
      </left>
      <right style="thin">
        <color rgb="FFD9D9D9"/>
      </right>
      <top style="thin">
        <color rgb="FFD9D9D9"/>
      </top>
      <bottom style="thin">
        <color rgb="FFD9D9D9"/>
      </bottom>
      <diagonal/>
    </border>
    <border>
      <left style="medium">
        <color rgb="FF002B5C"/>
      </left>
      <right style="medium">
        <color rgb="FF002B5C"/>
      </right>
      <top style="medium">
        <color rgb="FF002B5C"/>
      </top>
      <bottom style="medium">
        <color rgb="FF002B5C"/>
      </bottom>
      <diagonal/>
    </border>
    <border>
      <left style="thin">
        <color rgb="FFD9D9D9"/>
      </left>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style="medium">
        <color rgb="00002B5C"/>
      </left>
      <right style="medium">
        <color rgb="00002B5C"/>
      </right>
      <top style="medium">
        <color rgb="00002B5C"/>
      </top>
      <bottom style="medium">
        <color rgb="00002B5C"/>
      </bottom>
    </border>
    <border>
      <left/>
      <right/>
      <top style="medium">
        <color rgb="00002B5C"/>
      </top>
      <bottom/>
      <diagonal/>
    </border>
    <border>
      <left/>
      <right style="medium">
        <color rgb="00002B5C"/>
      </right>
      <top style="medium">
        <color rgb="00002B5C"/>
      </top>
      <bottom/>
      <diagonal/>
    </border>
    <border>
      <left/>
      <right/>
      <top style="medium">
        <color rgb="00002B5C"/>
      </top>
      <bottom style="medium">
        <color rgb="00002B5C"/>
      </bottom>
      <diagonal/>
    </border>
    <border>
      <left/>
      <right style="medium">
        <color rgb="00002B5C"/>
      </right>
      <top style="medium">
        <color rgb="00002B5C"/>
      </top>
      <bottom style="medium">
        <color rgb="00002B5C"/>
      </bottom>
      <diagonal/>
    </border>
    <border>
      <left style="medium">
        <color rgb="00002B5C"/>
      </left>
      <right/>
      <top/>
      <bottom/>
      <diagonal/>
    </border>
    <border>
      <left/>
      <right style="medium">
        <color rgb="00002B5C"/>
      </right>
      <top/>
      <bottom/>
      <diagonal/>
    </border>
    <border>
      <left style="medium">
        <color rgb="00002B5C"/>
      </left>
      <right/>
      <top/>
      <bottom style="medium">
        <color rgb="00002B5C"/>
      </bottom>
      <diagonal/>
    </border>
    <border>
      <left/>
      <right/>
      <top/>
      <bottom style="medium">
        <color rgb="00002B5C"/>
      </bottom>
      <diagonal/>
    </border>
    <border>
      <left/>
      <right style="medium">
        <color rgb="00002B5C"/>
      </right>
      <top/>
      <bottom style="medium">
        <color rgb="00002B5C"/>
      </bottom>
      <diagonal/>
    </border>
    <border>
      <left style="medium">
        <color rgb="00002B5C"/>
      </left>
      <right style="medium">
        <color rgb="00002B5C"/>
      </right>
      <top/>
      <bottom/>
      <diagonal/>
    </border>
    <border>
      <left style="medium">
        <color rgb="00002B5C"/>
      </left>
      <right style="medium">
        <color rgb="00002B5C"/>
      </right>
      <top/>
      <bottom style="medium">
        <color rgb="00002B5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left" vertical="center" wrapText="1"/>
    </xf>
    <xf numFmtId="0" fontId="8" fillId="3" borderId="0" applyAlignment="1" pivotButton="0" quotePrefix="0" xfId="0">
      <alignment horizontal="left" vertical="top" wrapText="1"/>
    </xf>
    <xf numFmtId="0" fontId="9" fillId="3" borderId="0" applyAlignment="1" pivotButton="0" quotePrefix="0" xfId="0">
      <alignment horizontal="left" vertical="top" wrapText="1"/>
    </xf>
    <xf numFmtId="0" fontId="10" fillId="0" borderId="0" applyAlignment="1" pivotButton="0" quotePrefix="0" xfId="0">
      <alignment horizontal="left" vertical="top" wrapText="1"/>
    </xf>
    <xf numFmtId="0" fontId="11" fillId="2" borderId="0" applyAlignment="1" pivotButton="0" quotePrefix="0" xfId="0">
      <alignment horizontal="left" vertical="center" wrapText="1"/>
    </xf>
    <xf numFmtId="0" fontId="12" fillId="4" borderId="1" applyAlignment="1" pivotButton="0" quotePrefix="0" xfId="0">
      <alignment horizontal="center" vertical="center" wrapText="1"/>
    </xf>
    <xf numFmtId="0" fontId="9" fillId="0" borderId="1" applyAlignment="1" pivotButton="0" quotePrefix="0" xfId="0">
      <alignment horizontal="left" vertical="center" wrapText="1"/>
    </xf>
    <xf numFmtId="0" fontId="9" fillId="5" borderId="1" applyAlignment="1" pivotButton="0" quotePrefix="0" xfId="0">
      <alignment horizontal="left" vertical="center" wrapText="1"/>
    </xf>
    <xf numFmtId="0" fontId="13" fillId="2" borderId="0" applyAlignment="1" pivotButton="0" quotePrefix="0" xfId="0">
      <alignment horizontal="left" vertical="center" wrapText="1"/>
    </xf>
    <xf numFmtId="0" fontId="14" fillId="0" borderId="0" applyAlignment="1" pivotButton="0" quotePrefix="0" xfId="0">
      <alignment horizontal="general" vertical="bottom"/>
    </xf>
    <xf numFmtId="0" fontId="9" fillId="0" borderId="1" applyAlignment="1" pivotButton="0" quotePrefix="0" xfId="0">
      <alignment horizontal="left" vertical="top" wrapText="1"/>
    </xf>
    <xf numFmtId="0" fontId="9" fillId="0" borderId="1" applyAlignment="1" pivotButton="0" quotePrefix="0" xfId="0">
      <alignment horizontal="center" vertical="center" wrapText="1"/>
    </xf>
    <xf numFmtId="0" fontId="9" fillId="5" borderId="1" applyAlignment="1" pivotButton="0" quotePrefix="0" xfId="0">
      <alignment horizontal="left" vertical="top" wrapText="1"/>
    </xf>
    <xf numFmtId="0" fontId="9" fillId="5" borderId="1" applyAlignment="1" pivotButton="0" quotePrefix="0" xfId="0">
      <alignment horizontal="center" vertical="center" wrapText="1"/>
    </xf>
    <xf numFmtId="0" fontId="15" fillId="3" borderId="0" applyAlignment="1" pivotButton="0" quotePrefix="0" xfId="0">
      <alignment horizontal="left" vertical="top" wrapText="1"/>
    </xf>
    <xf numFmtId="0" fontId="14" fillId="3" borderId="0" applyAlignment="1" pivotButton="0" quotePrefix="0" xfId="0">
      <alignment horizontal="left" vertical="center" wrapText="1"/>
    </xf>
    <xf numFmtId="0" fontId="9" fillId="0" borderId="0" applyAlignment="1" pivotButton="0" quotePrefix="0" xfId="0">
      <alignment horizontal="left" vertical="top" wrapText="1"/>
    </xf>
    <xf numFmtId="164" fontId="16" fillId="6" borderId="1" applyAlignment="1" pivotButton="0" quotePrefix="0" xfId="0">
      <alignment horizontal="center" vertical="center" wrapText="1"/>
    </xf>
    <xf numFmtId="9" fontId="16" fillId="6" borderId="1" applyAlignment="1" pivotButton="0" quotePrefix="0" xfId="0">
      <alignment horizontal="center" vertical="center" wrapText="1"/>
    </xf>
    <xf numFmtId="9" fontId="17" fillId="0" borderId="1" applyAlignment="1" pivotButton="0" quotePrefix="0" xfId="0">
      <alignment horizontal="center" vertical="center" wrapText="1"/>
    </xf>
    <xf numFmtId="164" fontId="17" fillId="7" borderId="1" applyAlignment="1" pivotButton="0" quotePrefix="0" xfId="0">
      <alignment horizontal="center" vertical="center" wrapText="1"/>
    </xf>
    <xf numFmtId="165" fontId="16" fillId="6" borderId="1" applyAlignment="1" pivotButton="0" quotePrefix="0" xfId="0">
      <alignment horizontal="center" vertical="center" wrapText="1"/>
    </xf>
    <xf numFmtId="165" fontId="17" fillId="7" borderId="1" applyAlignment="1" pivotButton="0" quotePrefix="0" xfId="0">
      <alignment horizontal="center" vertical="center" wrapText="1"/>
    </xf>
    <xf numFmtId="0" fontId="17" fillId="3" borderId="2" applyAlignment="1" pivotButton="0" quotePrefix="0" xfId="0">
      <alignment horizontal="general" vertical="bottom"/>
    </xf>
    <xf numFmtId="164" fontId="17" fillId="3" borderId="2" applyAlignment="1" pivotButton="0" quotePrefix="0" xfId="0">
      <alignment horizontal="center" vertical="center" wrapText="1"/>
    </xf>
    <xf numFmtId="9" fontId="17" fillId="3" borderId="2" applyAlignment="1" pivotButton="0" quotePrefix="0" xfId="0">
      <alignment horizontal="center" vertical="center" wrapText="1"/>
    </xf>
    <xf numFmtId="165" fontId="17" fillId="3" borderId="2" applyAlignment="1" pivotButton="0" quotePrefix="0" xfId="0">
      <alignment horizontal="center" vertical="center" wrapText="1"/>
    </xf>
    <xf numFmtId="0" fontId="0" fillId="0" borderId="0" applyAlignment="1" pivotButton="0" quotePrefix="0" xfId="0">
      <alignment horizontal="general" vertical="bottom"/>
    </xf>
    <xf numFmtId="0" fontId="9" fillId="7" borderId="1" applyAlignment="1" pivotButton="0" quotePrefix="0" xfId="0">
      <alignment horizontal="left" vertical="center" wrapText="1"/>
    </xf>
    <xf numFmtId="0" fontId="17" fillId="0" borderId="3" applyAlignment="1" pivotButton="0" quotePrefix="0" xfId="0">
      <alignment horizontal="left" vertical="top" wrapText="1"/>
    </xf>
    <xf numFmtId="0" fontId="9" fillId="0" borderId="3" applyAlignment="1" pivotButton="0" quotePrefix="0" xfId="0">
      <alignment horizontal="left" vertical="top" wrapText="1"/>
    </xf>
    <xf numFmtId="0" fontId="9" fillId="8" borderId="1" applyAlignment="1" pivotButton="0" quotePrefix="0" xfId="0">
      <alignment horizontal="left" vertical="center" wrapText="1"/>
    </xf>
    <xf numFmtId="0" fontId="9" fillId="9" borderId="1" applyAlignment="1" pivotButton="0" quotePrefix="0" xfId="0">
      <alignment horizontal="left" vertical="center" wrapText="1"/>
    </xf>
    <xf numFmtId="164" fontId="17" fillId="0" borderId="1" applyAlignment="1" pivotButton="0" quotePrefix="0" xfId="0">
      <alignment horizontal="center" vertical="center" wrapText="1"/>
    </xf>
    <xf numFmtId="164" fontId="17" fillId="5" borderId="1" applyAlignment="1" pivotButton="0" quotePrefix="0" xfId="0">
      <alignment horizontal="center" vertical="center" wrapText="1"/>
    </xf>
    <xf numFmtId="0" fontId="17" fillId="5" borderId="3" applyAlignment="1" pivotButton="0" quotePrefix="0" xfId="0">
      <alignment horizontal="left" vertical="top" wrapText="1"/>
    </xf>
    <xf numFmtId="1" fontId="16" fillId="6" borderId="1" applyAlignment="1" pivotButton="0" quotePrefix="0" xfId="0">
      <alignment horizontal="center" vertical="center" wrapText="1"/>
    </xf>
    <xf numFmtId="0" fontId="0" fillId="0" borderId="1" applyAlignment="1" pivotButton="0" quotePrefix="0" xfId="0">
      <alignment horizontal="general" vertical="bottom"/>
    </xf>
    <xf numFmtId="166" fontId="17" fillId="7"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7" borderId="1" applyAlignment="1" pivotButton="0" quotePrefix="0" xfId="0">
      <alignment horizontal="center" vertical="center" wrapText="1"/>
    </xf>
    <xf numFmtId="167" fontId="9" fillId="0" borderId="1" applyAlignment="1" pivotButton="0" quotePrefix="0" xfId="0">
      <alignment horizontal="center" vertical="center" wrapText="1"/>
    </xf>
    <xf numFmtId="167" fontId="9" fillId="5" borderId="1" applyAlignment="1" pivotButton="0" quotePrefix="0" xfId="0">
      <alignment horizontal="center" vertical="center" wrapText="1"/>
    </xf>
    <xf numFmtId="165" fontId="9" fillId="0" borderId="1" applyAlignment="1" pivotButton="0" quotePrefix="0" xfId="0">
      <alignment horizontal="center" vertical="center" wrapText="1"/>
    </xf>
    <xf numFmtId="9" fontId="9" fillId="0" borderId="1" applyAlignment="1" pivotButton="0" quotePrefix="0" xfId="0">
      <alignment horizontal="center" vertical="center" wrapText="1"/>
    </xf>
    <xf numFmtId="165" fontId="9" fillId="5" borderId="1" applyAlignment="1" pivotButton="0" quotePrefix="0" xfId="0">
      <alignment horizontal="center" vertical="center" wrapText="1"/>
    </xf>
    <xf numFmtId="9" fontId="9" fillId="5" borderId="1" applyAlignment="1" pivotButton="0" quotePrefix="0" xfId="0">
      <alignment horizontal="center" vertical="center" wrapText="1"/>
    </xf>
    <xf numFmtId="168" fontId="9" fillId="10" borderId="1" applyAlignment="1" pivotButton="0" quotePrefix="0" xfId="0">
      <alignment horizontal="center" vertical="center" wrapText="1"/>
    </xf>
    <xf numFmtId="168" fontId="9" fillId="11" borderId="1" applyAlignment="1" pivotButton="0" quotePrefix="0" xfId="0">
      <alignment horizontal="center" vertical="center" wrapText="1"/>
    </xf>
    <xf numFmtId="168" fontId="9" fillId="9" borderId="1" applyAlignment="1" pivotButton="0" quotePrefix="0" xfId="0">
      <alignment horizontal="center" vertical="center" wrapText="1"/>
    </xf>
    <xf numFmtId="168" fontId="9" fillId="7" borderId="1" applyAlignment="1" pivotButton="0" quotePrefix="0" xfId="0">
      <alignment horizontal="center" vertical="center" wrapText="1"/>
    </xf>
    <xf numFmtId="168" fontId="9" fillId="8" borderId="1" applyAlignment="1" pivotButton="0" quotePrefix="0" xfId="0">
      <alignment horizontal="center" vertical="center" wrapText="1"/>
    </xf>
    <xf numFmtId="0" fontId="9" fillId="11" borderId="1" applyAlignment="1" pivotButton="0" quotePrefix="0" xfId="0">
      <alignment horizontal="general" vertical="bottom"/>
    </xf>
    <xf numFmtId="0" fontId="9" fillId="7" borderId="1" applyAlignment="1" pivotButton="0" quotePrefix="0" xfId="0">
      <alignment horizontal="general" vertical="bottom"/>
    </xf>
    <xf numFmtId="0" fontId="9" fillId="8" borderId="1" applyAlignment="1" pivotButton="0" quotePrefix="0" xfId="0">
      <alignment horizontal="general" vertical="bottom"/>
    </xf>
    <xf numFmtId="0" fontId="9" fillId="9" borderId="1" applyAlignment="1" pivotButton="0" quotePrefix="0" xfId="0">
      <alignment horizontal="general" vertical="bottom"/>
    </xf>
    <xf numFmtId="0" fontId="9" fillId="10" borderId="1" applyAlignment="1" pivotButton="0" quotePrefix="0" xfId="0">
      <alignment horizontal="general" vertical="bottom"/>
    </xf>
    <xf numFmtId="0" fontId="12" fillId="0" borderId="0" applyAlignment="1" pivotButton="0" quotePrefix="0" xfId="0">
      <alignment horizontal="general" vertical="bottom"/>
    </xf>
    <xf numFmtId="0" fontId="9" fillId="11" borderId="1" applyAlignment="1" pivotButton="0" quotePrefix="0" xfId="0">
      <alignment horizontal="center" vertical="center" wrapText="1"/>
    </xf>
    <xf numFmtId="0" fontId="9" fillId="0" borderId="0" applyAlignment="1" pivotButton="0" quotePrefix="0" xfId="0">
      <alignment horizontal="left" vertical="top"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9" fillId="9"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left" vertical="center" wrapText="1"/>
    </xf>
    <xf numFmtId="0" fontId="8" fillId="3" borderId="0" applyAlignment="1" pivotButton="0" quotePrefix="0" xfId="0">
      <alignment horizontal="left" vertical="top" wrapText="1"/>
    </xf>
    <xf numFmtId="0" fontId="9" fillId="3" borderId="0" applyAlignment="1" pivotButton="0" quotePrefix="0" xfId="0">
      <alignment horizontal="left" vertical="top" wrapText="1"/>
    </xf>
    <xf numFmtId="0" fontId="10" fillId="0" borderId="0" applyAlignment="1" pivotButton="0" quotePrefix="0" xfId="0">
      <alignment horizontal="left" vertical="top" wrapText="1"/>
    </xf>
    <xf numFmtId="0" fontId="11" fillId="2" borderId="0" applyAlignment="1" pivotButton="0" quotePrefix="0" xfId="0">
      <alignment horizontal="left" vertical="center" wrapText="1"/>
    </xf>
    <xf numFmtId="0" fontId="12" fillId="4" borderId="1" applyAlignment="1" pivotButton="0" quotePrefix="0" xfId="0">
      <alignment horizontal="center" vertical="center" wrapText="1"/>
    </xf>
    <xf numFmtId="0" fontId="9" fillId="0" borderId="1" applyAlignment="1" pivotButton="0" quotePrefix="0" xfId="0">
      <alignment horizontal="left" vertical="center" wrapText="1"/>
    </xf>
    <xf numFmtId="0" fontId="9" fillId="5" borderId="1" applyAlignment="1" pivotButton="0" quotePrefix="0" xfId="0">
      <alignment horizontal="left" vertical="center" wrapText="1"/>
    </xf>
    <xf numFmtId="0" fontId="24" fillId="0" borderId="8" applyAlignment="1" pivotButton="0" quotePrefix="0" xfId="0">
      <alignment horizontal="left" vertical="center" wrapText="1"/>
    </xf>
    <xf numFmtId="0" fontId="24" fillId="14" borderId="8" applyAlignment="1" pivotButton="0" quotePrefix="0" xfId="0">
      <alignment horizontal="left" vertical="center" wrapText="1"/>
    </xf>
    <xf numFmtId="0" fontId="13" fillId="2" borderId="0" applyAlignment="1" pivotButton="0" quotePrefix="0" xfId="0">
      <alignment horizontal="left" vertical="center" wrapText="1"/>
    </xf>
    <xf numFmtId="0" fontId="14" fillId="0" borderId="0" applyAlignment="1" pivotButton="0" quotePrefix="0" xfId="0">
      <alignment horizontal="general" vertical="bottom"/>
    </xf>
    <xf numFmtId="0" fontId="9" fillId="0" borderId="1" applyAlignment="1" pivotButton="0" quotePrefix="0" xfId="0">
      <alignment horizontal="left" vertical="top" wrapText="1"/>
    </xf>
    <xf numFmtId="0" fontId="9" fillId="0" borderId="1" applyAlignment="1" pivotButton="0" quotePrefix="0" xfId="0">
      <alignment horizontal="center" vertical="center" wrapText="1"/>
    </xf>
    <xf numFmtId="0" fontId="9" fillId="5" borderId="1" applyAlignment="1" pivotButton="0" quotePrefix="0" xfId="0">
      <alignment horizontal="left" vertical="top" wrapText="1"/>
    </xf>
    <xf numFmtId="0" fontId="9" fillId="5" borderId="1" applyAlignment="1" pivotButton="0" quotePrefix="0" xfId="0">
      <alignment horizontal="center" vertical="center" wrapText="1"/>
    </xf>
    <xf numFmtId="0" fontId="15" fillId="3" borderId="0" applyAlignment="1" pivotButton="0" quotePrefix="0" xfId="0">
      <alignment horizontal="left" vertical="top" wrapText="1"/>
    </xf>
    <xf numFmtId="0" fontId="14" fillId="3" borderId="0" applyAlignment="1" pivotButton="0" quotePrefix="0" xfId="0">
      <alignment horizontal="left" vertical="center" wrapText="1"/>
    </xf>
    <xf numFmtId="0" fontId="9" fillId="0" borderId="0" applyAlignment="1" pivotButton="0" quotePrefix="0" xfId="0">
      <alignment horizontal="left" vertical="top" wrapText="1"/>
    </xf>
    <xf numFmtId="164" fontId="16" fillId="6" borderId="1" applyAlignment="1" pivotButton="0" quotePrefix="0" xfId="0">
      <alignment horizontal="center" vertical="center" wrapText="1"/>
    </xf>
    <xf numFmtId="9" fontId="16" fillId="6" borderId="1" applyAlignment="1" pivotButton="0" quotePrefix="0" xfId="0">
      <alignment horizontal="center" vertical="center" wrapText="1"/>
    </xf>
    <xf numFmtId="9" fontId="17" fillId="0" borderId="1" applyAlignment="1" pivotButton="0" quotePrefix="0" xfId="0">
      <alignment horizontal="center" vertical="center" wrapText="1"/>
    </xf>
    <xf numFmtId="164" fontId="17" fillId="7" borderId="1" applyAlignment="1" pivotButton="0" quotePrefix="0" xfId="0">
      <alignment horizontal="center" vertical="center" wrapText="1"/>
    </xf>
    <xf numFmtId="165" fontId="16" fillId="6" borderId="1" applyAlignment="1" pivotButton="0" quotePrefix="0" xfId="0">
      <alignment horizontal="center" vertical="center" wrapText="1"/>
    </xf>
    <xf numFmtId="165" fontId="17" fillId="7" borderId="1" applyAlignment="1" pivotButton="0" quotePrefix="0" xfId="0">
      <alignment horizontal="center" vertical="center" wrapText="1"/>
    </xf>
    <xf numFmtId="0" fontId="17" fillId="3" borderId="2" applyAlignment="1" pivotButton="0" quotePrefix="0" xfId="0">
      <alignment horizontal="general" vertical="bottom"/>
    </xf>
    <xf numFmtId="164" fontId="17" fillId="3" borderId="2" applyAlignment="1" pivotButton="0" quotePrefix="0" xfId="0">
      <alignment horizontal="center" vertical="center" wrapText="1"/>
    </xf>
    <xf numFmtId="9" fontId="17" fillId="3" borderId="2" applyAlignment="1" pivotButton="0" quotePrefix="0" xfId="0">
      <alignment horizontal="center" vertical="center" wrapText="1"/>
    </xf>
    <xf numFmtId="165" fontId="17" fillId="3" borderId="2" applyAlignment="1" pivotButton="0" quotePrefix="0" xfId="0">
      <alignment horizontal="center" vertical="center" wrapText="1"/>
    </xf>
    <xf numFmtId="0" fontId="0" fillId="0" borderId="6" pivotButton="0" quotePrefix="0" xfId="0"/>
    <xf numFmtId="0" fontId="0" fillId="0" borderId="7" pivotButton="0" quotePrefix="0" xfId="0"/>
    <xf numFmtId="0" fontId="9" fillId="7" borderId="1" applyAlignment="1" pivotButton="0" quotePrefix="0" xfId="0">
      <alignment horizontal="left" vertical="center" wrapText="1"/>
    </xf>
    <xf numFmtId="0" fontId="17" fillId="0" borderId="3" applyAlignment="1" pivotButton="0" quotePrefix="0" xfId="0">
      <alignment horizontal="left" vertical="top" wrapText="1"/>
    </xf>
    <xf numFmtId="0" fontId="9" fillId="0" borderId="3" applyAlignment="1" pivotButton="0" quotePrefix="0" xfId="0">
      <alignment horizontal="left" vertical="top" wrapText="1"/>
    </xf>
    <xf numFmtId="0" fontId="9" fillId="8" borderId="1" applyAlignment="1" pivotButton="0" quotePrefix="0" xfId="0">
      <alignment horizontal="left" vertical="center" wrapText="1"/>
    </xf>
    <xf numFmtId="0" fontId="9" fillId="9" borderId="1" applyAlignment="1" pivotButton="0" quotePrefix="0" xfId="0">
      <alignment horizontal="left" vertical="center" wrapText="1"/>
    </xf>
    <xf numFmtId="164" fontId="17" fillId="0" borderId="1" applyAlignment="1" pivotButton="0" quotePrefix="0" xfId="0">
      <alignment horizontal="center" vertical="center" wrapText="1"/>
    </xf>
    <xf numFmtId="164" fontId="17" fillId="5" borderId="1" applyAlignment="1" pivotButton="0" quotePrefix="0" xfId="0">
      <alignment horizontal="center" vertical="center" wrapText="1"/>
    </xf>
    <xf numFmtId="0" fontId="17" fillId="5" borderId="3" applyAlignment="1" pivotButton="0" quotePrefix="0" xfId="0">
      <alignment horizontal="left" vertical="top" wrapText="1"/>
    </xf>
    <xf numFmtId="1" fontId="16" fillId="6" borderId="1" applyAlignment="1" pivotButton="0" quotePrefix="0" xfId="0">
      <alignment horizontal="center" vertical="center" wrapText="1"/>
    </xf>
    <xf numFmtId="0" fontId="0" fillId="0" borderId="1" applyAlignment="1" pivotButton="0" quotePrefix="0" xfId="0">
      <alignment horizontal="general" vertical="bottom"/>
    </xf>
    <xf numFmtId="166" fontId="17" fillId="7"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7" borderId="1" applyAlignment="1" pivotButton="0" quotePrefix="0" xfId="0">
      <alignment horizontal="center" vertical="center" wrapText="1"/>
    </xf>
    <xf numFmtId="167" fontId="9" fillId="0" borderId="1" applyAlignment="1" pivotButton="0" quotePrefix="0" xfId="0">
      <alignment horizontal="center" vertical="center" wrapText="1"/>
    </xf>
    <xf numFmtId="167" fontId="9" fillId="5" borderId="1" applyAlignment="1" pivotButton="0" quotePrefix="0" xfId="0">
      <alignment horizontal="center" vertical="center" wrapText="1"/>
    </xf>
    <xf numFmtId="165" fontId="9" fillId="0" borderId="1" applyAlignment="1" pivotButton="0" quotePrefix="0" xfId="0">
      <alignment horizontal="center" vertical="center" wrapText="1"/>
    </xf>
    <xf numFmtId="9" fontId="9" fillId="0" borderId="1" applyAlignment="1" pivotButton="0" quotePrefix="0" xfId="0">
      <alignment horizontal="center" vertical="center" wrapText="1"/>
    </xf>
    <xf numFmtId="165" fontId="9" fillId="5" borderId="1" applyAlignment="1" pivotButton="0" quotePrefix="0" xfId="0">
      <alignment horizontal="center" vertical="center" wrapText="1"/>
    </xf>
    <xf numFmtId="9" fontId="9" fillId="5" borderId="1" applyAlignment="1" pivotButton="0" quotePrefix="0" xfId="0">
      <alignment horizontal="center" vertical="center" wrapText="1"/>
    </xf>
    <xf numFmtId="0" fontId="20" fillId="12" borderId="0" applyAlignment="1" pivotButton="0" quotePrefix="0" xfId="0">
      <alignment horizontal="left" vertical="center" wrapText="1"/>
    </xf>
    <xf numFmtId="0" fontId="21" fillId="12" borderId="0" applyAlignment="1" pivotButton="0" quotePrefix="0" xfId="0">
      <alignment horizontal="left" vertical="center" wrapText="1"/>
    </xf>
    <xf numFmtId="0" fontId="22" fillId="0" borderId="0" pivotButton="0" quotePrefix="0" xfId="0"/>
    <xf numFmtId="0" fontId="23" fillId="13" borderId="8" applyAlignment="1" pivotButton="0" quotePrefix="0" xfId="0">
      <alignment horizontal="center" vertical="center" wrapText="1"/>
    </xf>
    <xf numFmtId="0" fontId="24" fillId="0" borderId="8" applyAlignment="1" pivotButton="0" quotePrefix="0" xfId="0">
      <alignment horizontal="left" vertical="top" wrapText="1"/>
    </xf>
    <xf numFmtId="0" fontId="24" fillId="0" borderId="8" applyAlignment="1" pivotButton="0" quotePrefix="0" xfId="0">
      <alignment horizontal="center" vertical="center" wrapText="1"/>
    </xf>
    <xf numFmtId="0" fontId="24" fillId="14" borderId="8" applyAlignment="1" pivotButton="0" quotePrefix="0" xfId="0">
      <alignment horizontal="left" vertical="top" wrapText="1"/>
    </xf>
    <xf numFmtId="0" fontId="24" fillId="14" borderId="8" applyAlignment="1" pivotButton="0" quotePrefix="0" xfId="0">
      <alignment horizontal="center" vertical="center" wrapText="1"/>
    </xf>
    <xf numFmtId="0" fontId="25" fillId="15" borderId="0" applyAlignment="1" pivotButton="0" quotePrefix="0" xfId="0">
      <alignment horizontal="left" vertical="top" wrapText="1"/>
    </xf>
    <xf numFmtId="0" fontId="26" fillId="0" borderId="0" applyAlignment="1" pivotButton="0" quotePrefix="0" xfId="0">
      <alignment horizontal="left" vertical="top" wrapText="1"/>
    </xf>
    <xf numFmtId="168" fontId="9" fillId="10" borderId="1" applyAlignment="1" pivotButton="0" quotePrefix="0" xfId="0">
      <alignment horizontal="center" vertical="center" wrapText="1"/>
    </xf>
    <xf numFmtId="168" fontId="9" fillId="11" borderId="1" applyAlignment="1" pivotButton="0" quotePrefix="0" xfId="0">
      <alignment horizontal="center" vertical="center" wrapText="1"/>
    </xf>
    <xf numFmtId="168" fontId="9" fillId="9" borderId="1" applyAlignment="1" pivotButton="0" quotePrefix="0" xfId="0">
      <alignment horizontal="center" vertical="center" wrapText="1"/>
    </xf>
    <xf numFmtId="168" fontId="9" fillId="7" borderId="1" applyAlignment="1" pivotButton="0" quotePrefix="0" xfId="0">
      <alignment horizontal="center" vertical="center" wrapText="1"/>
    </xf>
    <xf numFmtId="168" fontId="9" fillId="8" borderId="1" applyAlignment="1" pivotButton="0" quotePrefix="0" xfId="0">
      <alignment horizontal="center" vertical="center" wrapText="1"/>
    </xf>
    <xf numFmtId="0" fontId="9" fillId="11" borderId="1" applyAlignment="1" pivotButton="0" quotePrefix="0" xfId="0">
      <alignment horizontal="general" vertical="bottom"/>
    </xf>
    <xf numFmtId="0" fontId="9" fillId="7" borderId="1" applyAlignment="1" pivotButton="0" quotePrefix="0" xfId="0">
      <alignment horizontal="general" vertical="bottom"/>
    </xf>
    <xf numFmtId="0" fontId="9" fillId="8" borderId="1" applyAlignment="1" pivotButton="0" quotePrefix="0" xfId="0">
      <alignment horizontal="general" vertical="bottom"/>
    </xf>
    <xf numFmtId="0" fontId="9" fillId="9" borderId="1" applyAlignment="1" pivotButton="0" quotePrefix="0" xfId="0">
      <alignment horizontal="general" vertical="bottom"/>
    </xf>
    <xf numFmtId="0" fontId="9" fillId="10" borderId="1" applyAlignment="1" pivotButton="0" quotePrefix="0" xfId="0">
      <alignment horizontal="general" vertical="bottom"/>
    </xf>
    <xf numFmtId="0" fontId="12" fillId="0" borderId="0" applyAlignment="1" pivotButton="0" quotePrefix="0" xfId="0">
      <alignment horizontal="general" vertical="bottom"/>
    </xf>
    <xf numFmtId="0" fontId="9" fillId="11" borderId="1" applyAlignment="1" pivotButton="0" quotePrefix="0" xfId="0">
      <alignment horizontal="center" vertical="center"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9" fillId="9" borderId="1" applyAlignment="1" pivotButton="0" quotePrefix="0" xfId="0">
      <alignment horizontal="left" vertical="top" wrapText="1"/>
    </xf>
    <xf numFmtId="0" fontId="24" fillId="16" borderId="8" applyAlignment="1" pivotButton="0" quotePrefix="0" xfId="0">
      <alignment horizontal="left" vertical="top" wrapText="1"/>
    </xf>
    <xf numFmtId="0" fontId="24" fillId="17" borderId="8" applyAlignment="1" pivotButton="0" quotePrefix="0" xfId="0">
      <alignment horizontal="left" vertical="top" wrapText="1"/>
    </xf>
    <xf numFmtId="0" fontId="24" fillId="18" borderId="8" applyAlignment="1" pivotButton="0" quotePrefix="0" xfId="0">
      <alignment horizontal="left" vertical="top" wrapText="1"/>
    </xf>
    <xf numFmtId="0" fontId="24" fillId="19" borderId="8" applyAlignment="1" pivotButton="0" quotePrefix="0" xfId="0">
      <alignment horizontal="left" vertical="top" wrapText="1"/>
    </xf>
    <xf numFmtId="0" fontId="23" fillId="13" borderId="0" applyAlignment="1" pivotButton="0" quotePrefix="0" xfId="0">
      <alignment horizontal="center" vertical="center" wrapText="1"/>
    </xf>
    <xf numFmtId="0" fontId="23" fillId="0" borderId="0" pivotButton="0" quotePrefix="0" xfId="0"/>
    <xf numFmtId="0" fontId="0" fillId="17" borderId="9" applyAlignment="1" pivotButton="0" quotePrefix="0" xfId="0">
      <alignment horizontal="center" vertical="center" wrapText="1"/>
    </xf>
    <xf numFmtId="0" fontId="0" fillId="19" borderId="9" applyAlignment="1" pivotButton="0" quotePrefix="0" xfId="0">
      <alignment horizontal="center" vertical="center" wrapText="1"/>
    </xf>
    <xf numFmtId="0" fontId="0" fillId="16" borderId="9" applyAlignment="1" pivotButton="0" quotePrefix="0" xfId="0">
      <alignment horizontal="center" vertical="center" wrapText="1"/>
    </xf>
    <xf numFmtId="0" fontId="0" fillId="18" borderId="9" applyAlignment="1" pivotButton="0" quotePrefix="0" xfId="0">
      <alignment horizontal="center" vertical="center" wrapText="1"/>
    </xf>
    <xf numFmtId="0" fontId="28" fillId="12" borderId="0" applyAlignment="1" pivotButton="0" quotePrefix="0" xfId="0">
      <alignment horizontal="left" vertical="center" wrapText="1"/>
    </xf>
    <xf numFmtId="0" fontId="24" fillId="15" borderId="0" applyAlignment="1" pivotButton="0" quotePrefix="0" xfId="0">
      <alignment horizontal="left" vertical="top" wrapText="1"/>
    </xf>
    <xf numFmtId="0" fontId="22" fillId="15" borderId="0" applyAlignment="1" pivotButton="0" quotePrefix="0" xfId="0">
      <alignment horizontal="left" vertical="center" wrapText="1"/>
    </xf>
    <xf numFmtId="0" fontId="24" fillId="0" borderId="0" applyAlignment="1" pivotButton="0" quotePrefix="0" xfId="0">
      <alignment horizontal="left" vertical="top" wrapText="1"/>
    </xf>
    <xf numFmtId="0" fontId="23" fillId="13" borderId="9" applyAlignment="1" pivotButton="0" quotePrefix="0" xfId="0">
      <alignment horizontal="center" vertical="center" wrapText="1"/>
    </xf>
    <xf numFmtId="0" fontId="24" fillId="20" borderId="9" applyAlignment="1" pivotButton="0" quotePrefix="0" xfId="0">
      <alignment horizontal="left" vertical="top" wrapText="1"/>
    </xf>
    <xf numFmtId="0" fontId="24" fillId="17" borderId="9" applyAlignment="1" pivotButton="0" quotePrefix="0" xfId="0">
      <alignment horizontal="left" vertical="top" wrapText="1"/>
    </xf>
    <xf numFmtId="0" fontId="24" fillId="21" borderId="9" applyAlignment="1" pivotButton="0" quotePrefix="0" xfId="0">
      <alignment horizontal="left" vertical="top" wrapText="1"/>
    </xf>
    <xf numFmtId="0" fontId="24" fillId="19" borderId="9" applyAlignment="1" pivotButton="0" quotePrefix="0" xfId="0">
      <alignment horizontal="left" vertical="top" wrapText="1"/>
    </xf>
    <xf numFmtId="0" fontId="23" fillId="17" borderId="8" applyAlignment="1" pivotButton="0" quotePrefix="0" xfId="0">
      <alignment horizontal="left" vertical="top" wrapText="1"/>
    </xf>
    <xf numFmtId="0" fontId="27" fillId="19" borderId="8" applyAlignment="1" pivotButton="0" quotePrefix="0" xfId="0">
      <alignment horizontal="left" vertical="top" wrapText="1"/>
    </xf>
    <xf numFmtId="0" fontId="27" fillId="20" borderId="8" applyAlignment="1" pivotButton="0" quotePrefix="0" xfId="0">
      <alignment horizontal="left" vertical="top" wrapText="1"/>
    </xf>
    <xf numFmtId="0" fontId="27" fillId="21" borderId="8" applyAlignment="1" pivotButton="0" quotePrefix="0" xfId="0">
      <alignment horizontal="left" vertical="top" wrapText="1"/>
    </xf>
    <xf numFmtId="0" fontId="27" fillId="17" borderId="8" applyAlignment="1" pivotButton="0" quotePrefix="0" xfId="0">
      <alignment horizontal="center" vertical="center" wrapText="1"/>
    </xf>
    <xf numFmtId="0" fontId="27" fillId="19" borderId="8" applyAlignment="1" pivotButton="0" quotePrefix="0" xfId="0">
      <alignment horizontal="center" vertical="center" wrapText="1"/>
    </xf>
    <xf numFmtId="0" fontId="27" fillId="20" borderId="8" applyAlignment="1" pivotButton="0" quotePrefix="0" xfId="0">
      <alignment horizontal="center" vertical="center" wrapText="1"/>
    </xf>
    <xf numFmtId="0" fontId="27" fillId="21" borderId="8" applyAlignment="1" pivotButton="0" quotePrefix="0" xfId="0">
      <alignment horizontal="center" vertical="center" wrapText="1"/>
    </xf>
    <xf numFmtId="0" fontId="29" fillId="15" borderId="0" applyAlignment="1" pivotButton="0" quotePrefix="0" xfId="0">
      <alignment horizontal="left" vertical="top" wrapText="1"/>
    </xf>
    <xf numFmtId="0" fontId="24" fillId="0" borderId="0" pivotButton="0" quotePrefix="0" xfId="0"/>
    <xf numFmtId="169" fontId="24" fillId="0" borderId="8" applyAlignment="1" pivotButton="0" quotePrefix="0" xfId="0">
      <alignment horizontal="center" vertical="center" wrapText="1"/>
    </xf>
    <xf numFmtId="169" fontId="24" fillId="14" borderId="8" applyAlignment="1" pivotButton="0" quotePrefix="0" xfId="0">
      <alignment horizontal="center" vertical="center" wrapText="1"/>
    </xf>
    <xf numFmtId="0" fontId="24" fillId="16" borderId="8" applyAlignment="1" pivotButton="0" quotePrefix="0" xfId="0">
      <alignment horizontal="center" vertical="center" wrapText="1"/>
    </xf>
    <xf numFmtId="169" fontId="24" fillId="16" borderId="8" applyAlignment="1" pivotButton="0" quotePrefix="0" xfId="0">
      <alignment horizontal="center" vertical="center" wrapText="1"/>
    </xf>
    <xf numFmtId="0" fontId="24" fillId="22" borderId="8" applyAlignment="1" pivotButton="0" quotePrefix="0" xfId="0">
      <alignment horizontal="left" vertical="top" wrapText="1"/>
    </xf>
    <xf numFmtId="0" fontId="24" fillId="22" borderId="8" applyAlignment="1" pivotButton="0" quotePrefix="0" xfId="0">
      <alignment horizontal="center" vertical="center" wrapText="1"/>
    </xf>
    <xf numFmtId="169" fontId="24" fillId="22" borderId="8" applyAlignment="1" pivotButton="0" quotePrefix="0" xfId="0">
      <alignment horizontal="center" vertical="center" wrapText="1"/>
    </xf>
    <xf numFmtId="0" fontId="24" fillId="18" borderId="8" applyAlignment="1" pivotButton="0" quotePrefix="0" xfId="0">
      <alignment horizontal="center" vertical="center" wrapText="1"/>
    </xf>
    <xf numFmtId="0" fontId="0" fillId="0" borderId="12" pivotButton="0" quotePrefix="0" xfId="0"/>
    <xf numFmtId="0" fontId="0" fillId="0" borderId="13" pivotButton="0" quotePrefix="0" xfId="0"/>
    <xf numFmtId="0" fontId="0" fillId="0" borderId="10" pivotButton="0" quotePrefix="0" xfId="0"/>
    <xf numFmtId="0" fontId="0" fillId="0" borderId="11" pivotButton="0" quotePrefix="0" xfId="0"/>
    <xf numFmtId="0" fontId="0" fillId="0" borderId="19" pivotButton="0" quotePrefix="0" xfId="0"/>
    <xf numFmtId="0" fontId="0" fillId="0" borderId="14" pivotButton="0" quotePrefix="0" xfId="0"/>
    <xf numFmtId="0" fontId="0" fillId="0" borderId="15" pivotButton="0" quotePrefix="0" xfId="0"/>
    <xf numFmtId="0" fontId="0" fillId="0" borderId="20" pivotButton="0" quotePrefix="0" xfId="0"/>
    <xf numFmtId="0" fontId="0" fillId="0" borderId="16" pivotButton="0" quotePrefix="0" xfId="0"/>
    <xf numFmtId="0" fontId="0" fillId="0" borderId="17" pivotButton="0" quotePrefix="0" xfId="0"/>
    <xf numFmtId="0" fontId="0" fillId="0" borderId="18" pivotButton="0" quotePrefix="0" xfId="0"/>
    <xf numFmtId="0" fontId="33" fillId="0" borderId="8" applyAlignment="1" pivotButton="0" quotePrefix="0" xfId="0">
      <alignment horizontal="left" vertical="center" wrapText="1"/>
    </xf>
    <xf numFmtId="0" fontId="30" fillId="23" borderId="0" applyAlignment="1" pivotButton="0" quotePrefix="0" xfId="0">
      <alignment horizontal="left" vertical="center" wrapText="1"/>
    </xf>
    <xf numFmtId="0" fontId="31" fillId="23" borderId="0" applyAlignment="1" pivotButton="0" quotePrefix="0" xfId="0">
      <alignment horizontal="left" vertical="center" wrapText="1"/>
    </xf>
    <xf numFmtId="0" fontId="32" fillId="24" borderId="0" applyAlignment="1" pivotButton="0" quotePrefix="0" xfId="0">
      <alignment horizontal="left" vertical="center" wrapText="1"/>
    </xf>
    <xf numFmtId="0" fontId="33" fillId="0" borderId="0" applyAlignment="1" pivotButton="0" quotePrefix="0" xfId="0">
      <alignment horizontal="left" vertical="top" wrapText="1"/>
    </xf>
    <xf numFmtId="0" fontId="34" fillId="23" borderId="8" applyAlignment="1" pivotButton="0" quotePrefix="0" xfId="0">
      <alignment horizontal="center" vertical="center" wrapText="1"/>
    </xf>
    <xf numFmtId="0" fontId="33" fillId="0" borderId="8" applyAlignment="1" pivotButton="0" quotePrefix="0" xfId="0">
      <alignment horizontal="left" vertical="top" wrapText="1"/>
    </xf>
    <xf numFmtId="0" fontId="33" fillId="0" borderId="8" applyAlignment="1" pivotButton="0" quotePrefix="0" xfId="0">
      <alignment horizontal="center" vertical="center" wrapText="1"/>
    </xf>
    <xf numFmtId="169" fontId="33" fillId="0" borderId="8" applyAlignment="1" pivotButton="0" quotePrefix="0" xfId="0">
      <alignment horizontal="center" vertical="center" wrapText="1"/>
    </xf>
    <xf numFmtId="3" fontId="33" fillId="0" borderId="8" applyAlignment="1" pivotButton="0" quotePrefix="0" xfId="0">
      <alignment horizontal="center" vertical="center" wrapText="1"/>
    </xf>
    <xf numFmtId="1" fontId="33" fillId="0" borderId="8" applyAlignment="1" pivotButton="0" quotePrefix="0" xfId="0">
      <alignment horizontal="center" vertical="center" wrapText="1"/>
    </xf>
    <xf numFmtId="170" fontId="33" fillId="0" borderId="8" applyAlignment="1" pivotButton="0" quotePrefix="0" xfId="0">
      <alignment horizontal="center" vertical="center" wrapText="1"/>
    </xf>
    <xf numFmtId="0" fontId="33" fillId="14" borderId="8" applyAlignment="1" pivotButton="0" quotePrefix="0" xfId="0">
      <alignment horizontal="left" vertical="top" wrapText="1"/>
    </xf>
    <xf numFmtId="0" fontId="33" fillId="14" borderId="8" applyAlignment="1" pivotButton="0" quotePrefix="0" xfId="0">
      <alignment horizontal="center" vertical="center" wrapText="1"/>
    </xf>
    <xf numFmtId="169" fontId="33" fillId="14" borderId="8" applyAlignment="1" pivotButton="0" quotePrefix="0" xfId="0">
      <alignment horizontal="center" vertical="center" wrapText="1"/>
    </xf>
    <xf numFmtId="3" fontId="33" fillId="14" borderId="8" applyAlignment="1" pivotButton="0" quotePrefix="0" xfId="0">
      <alignment horizontal="center" vertical="center" wrapText="1"/>
    </xf>
    <xf numFmtId="1" fontId="33" fillId="14" borderId="8" applyAlignment="1" pivotButton="0" quotePrefix="0" xfId="0">
      <alignment horizontal="center" vertical="center" wrapText="1"/>
    </xf>
    <xf numFmtId="170" fontId="33" fillId="14" borderId="8" applyAlignment="1" pivotButton="0" quotePrefix="0" xfId="0">
      <alignment horizontal="center" vertical="center" wrapText="1"/>
    </xf>
    <xf numFmtId="0" fontId="33" fillId="25" borderId="8" applyAlignment="1" pivotButton="0" quotePrefix="0" xfId="0">
      <alignment horizontal="left" vertical="top" wrapText="1"/>
    </xf>
    <xf numFmtId="0" fontId="33" fillId="25" borderId="8" applyAlignment="1" pivotButton="0" quotePrefix="0" xfId="0">
      <alignment horizontal="center" vertical="center" wrapText="1"/>
    </xf>
    <xf numFmtId="169" fontId="33" fillId="25" borderId="8" applyAlignment="1" pivotButton="0" quotePrefix="0" xfId="0">
      <alignment horizontal="center" vertical="center" wrapText="1"/>
    </xf>
    <xf numFmtId="3" fontId="33" fillId="25" borderId="8" applyAlignment="1" pivotButton="0" quotePrefix="0" xfId="0">
      <alignment horizontal="center" vertical="center" wrapText="1"/>
    </xf>
    <xf numFmtId="1" fontId="33" fillId="25" borderId="8" applyAlignment="1" pivotButton="0" quotePrefix="0" xfId="0">
      <alignment horizontal="center" vertical="center" wrapText="1"/>
    </xf>
    <xf numFmtId="170" fontId="33" fillId="25" borderId="8" applyAlignment="1" pivotButton="0" quotePrefix="0" xfId="0">
      <alignment horizontal="center" vertical="center" wrapText="1"/>
    </xf>
    <xf numFmtId="0" fontId="32" fillId="0" borderId="0" pivotButton="0" quotePrefix="0" xfId="0"/>
    <xf numFmtId="0" fontId="33" fillId="0" borderId="0" applyAlignment="1" pivotButton="0" quotePrefix="0" xfId="0">
      <alignment horizontal="left" vertical="center" wrapText="1"/>
    </xf>
    <xf numFmtId="170" fontId="33" fillId="0" borderId="0" applyAlignment="1" pivotButton="0" quotePrefix="0" xfId="0">
      <alignment horizontal="center" vertical="center" wrapText="1"/>
    </xf>
    <xf numFmtId="0" fontId="35" fillId="24" borderId="0" applyAlignment="1" pivotButton="0" quotePrefix="0" xfId="0">
      <alignment horizontal="left" vertical="top" wrapText="1"/>
    </xf>
    <xf numFmtId="0" fontId="33" fillId="24" borderId="0" applyAlignment="1" pivotButton="0" quotePrefix="0" xfId="0">
      <alignment horizontal="left" vertical="top" wrapText="1"/>
    </xf>
    <xf numFmtId="0" fontId="36"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7B4"/>
      <rgbColor rgb="FFFAFAFA"/>
      <rgbColor rgb="FF878787"/>
      <rgbColor rgb="FF9999FF"/>
      <rgbColor rgb="FFC0504D"/>
      <rgbColor rgb="FFFFF2CC"/>
      <rgbColor rgb="FFEEEEEE"/>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4F81BD"/>
      <rgbColor rgb="FF4BACC6"/>
      <rgbColor rgb="FF9BBB59"/>
      <rgbColor rgb="FFFFCC00"/>
      <rgbColor rgb="FFFF9900"/>
      <rgbColor rgb="FFFF6600"/>
      <rgbColor rgb="FF8064A2"/>
      <rgbColor rgb="FF969696"/>
      <rgbColor rgb="FF002B5C"/>
      <rgbColor rgb="FF63BE7B"/>
      <rgbColor rgb="FF003300"/>
      <rgbColor rgb="FF333300"/>
      <rgbColor rgb="FF993300"/>
      <rgbColor rgb="FF993366"/>
      <rgbColor rgb="FF333399"/>
      <rgbColor rgb="FF59595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styles" Target="styles.xml" Id="rId65"/><Relationship Type="http://schemas.openxmlformats.org/officeDocument/2006/relationships/theme" Target="theme/theme1.xml" Id="rId6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Historical Productivity Ladder — annual % signal</a:t>
            </a:r>
          </a:p>
        </rich>
      </tx>
    </title>
    <plotArea>
      <barChart>
        <barDir val="col"/>
        <grouping val="clustered"/>
        <ser>
          <idx val="0"/>
          <order val="0"/>
          <tx>
            <strRef>
              <f>'LAD01'!B14</f>
            </strRef>
          </tx>
          <spPr>
            <a:ln xmlns:a="http://schemas.openxmlformats.org/drawingml/2006/main">
              <a:prstDash val="solid"/>
            </a:ln>
          </spPr>
          <cat>
            <numRef>
              <f>'LAD01'!$A$15:$A$20</f>
            </numRef>
          </cat>
          <val>
            <numRef>
              <f>'LAD01'!$B$15:$B$20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Conversion efficiency — productivity gain per log-decade of information speed</a:t>
            </a:r>
          </a:p>
        </rich>
      </tx>
    </title>
    <plotArea>
      <barChart>
        <barDir val="bar"/>
        <grouping val="clustered"/>
        <ser>
          <idx val="0"/>
          <order val="0"/>
          <tx>
            <strRef>
              <f>'SPD01'!B20</f>
            </strRef>
          </tx>
          <spPr>
            <a:ln xmlns:a="http://schemas.openxmlformats.org/drawingml/2006/main">
              <a:prstDash val="solid"/>
            </a:ln>
          </spPr>
          <cat>
            <numRef>
              <f>'SPD01'!$A$21:$A$26</f>
            </numRef>
          </cat>
          <val>
            <numRef>
              <f>'SPD01'!$B$21:$B$26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Value Increase Index (VII) by sector — calculated</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'IDX01'!F13</f>
              <strCache>
                <ptCount val="1"/>
                <pt idx="0">
                  <v>VII (calc)</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'IDX01'!$A$14:$A$31</f>
              <strCache>
                <ptCount val="18"/>
                <pt idx="0">
                  <v>Software development</v>
                </pt>
                <pt idx="1">
                  <v>Customer service / support</v>
                </pt>
                <pt idx="2">
                  <v>Writing / Marketing creative</v>
                </pt>
                <pt idx="3">
                  <v>Sales</v>
                </pt>
                <pt idx="4">
                  <v>Consulting / Professional services</v>
                </pt>
                <pt idx="5">
                  <v>Legal — document review / drafting</v>
                </pt>
                <pt idx="6">
                  <v>Legal — advisory (senior)</v>
                </pt>
                <pt idx="7">
                  <v>Finance — back office / ops</v>
                </pt>
                <pt idx="8">
                  <v>Financial services (FinServ overall)</v>
                </pt>
                <pt idx="9">
                  <v>Healthcare — clinical (scribes)</v>
                </pt>
                <pt idx="10">
                  <v>Manufacturing (lighthouses)</v>
                </pt>
                <pt idx="11">
                  <v>Manufacturing (average plant)</v>
                </pt>
                <pt idx="12">
                  <v>AEC / Construction</v>
                </pt>
                <pt idx="13">
                  <v>Education</v>
                </pt>
                <pt idx="14">
                  <v>Government / Public sector</v>
                </pt>
                <pt idx="15">
                  <v>TMT — IT functions</v>
                </pt>
                <pt idx="16">
                  <v>Consumer &amp; Retail — sales/ops</v>
                </pt>
                <pt idx="17">
                  <v>Energy &amp; Chemicals — supply chain</v>
                </pt>
              </strCache>
            </strRef>
          </cat>
          <val>
            <numRef>
              <f>'IDX01'!$F$14:$F$31</f>
              <numCache>
                <formatCode>0.0%</formatCode>
                <ptCount val="18"/>
                <pt idx="0">
                  <v>0.216</v>
                </pt>
                <pt idx="1">
                  <v>0.134</v>
                </pt>
                <pt idx="2">
                  <v>0.255</v>
                </pt>
                <pt idx="3">
                  <v>0.156</v>
                </pt>
                <pt idx="4">
                  <v>0.205</v>
                </pt>
                <pt idx="5">
                  <v>0.2455</v>
                </pt>
                <pt idx="6">
                  <v>0.08599999999999999</v>
                </pt>
                <pt idx="7">
                  <v>0.2865</v>
                </pt>
                <pt idx="8">
                  <v>0.156</v>
                </pt>
                <pt idx="9">
                  <v>0.155</v>
                </pt>
                <pt idx="10">
                  <v>0.2475</v>
                </pt>
                <pt idx="11">
                  <v>0.099</v>
                </pt>
                <pt idx="12">
                  <v>0.122</v>
                </pt>
                <pt idx="13">
                  <v>0.074</v>
                </pt>
                <pt idx="14">
                  <v>0.093</v>
                </pt>
                <pt idx="15">
                  <v>0.178</v>
                </pt>
                <pt idx="16">
                  <v>0.132</v>
                </pt>
                <pt idx="17">
                  <v>0.158</v>
                </pt>
              </numCache>
            </numRef>
          </val>
        </ser>
        <gapWidth val="150"/>
        <overlap val="0"/>
        <axId val="36799986"/>
        <axId val="50824072"/>
      </barChart>
      <catAx>
        <axId val="36799986"/>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50824072"/>
        <crosses val="autoZero"/>
        <auto val="1"/>
        <lblAlgn val="ctr"/>
        <lblOffset val="100"/>
        <noMultiLvlLbl val="0"/>
      </catAx>
      <valAx>
        <axId val="50824072"/>
        <scaling>
          <orientation val="minMax"/>
        </scaling>
        <delete val="0"/>
        <axPos val="l"/>
        <majorGridlines>
          <spPr>
            <a:ln xmlns:a="http://schemas.openxmlformats.org/drawingml/2006/main" w="9360">
              <a:solidFill>
                <a:srgbClr val="878787"/>
              </a:solidFill>
              <a:prstDash val="solid"/>
              <a:round/>
            </a:ln>
          </spPr>
        </majorGridlines>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36799986"/>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Maximalist claims vs measured reality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'HY01'!B14</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'HY01'!$A$15:$A$22</f>
              <strCache>
                <ptCount val="8"/>
                <pt idx="0">
                  <v>Claim / measurement</v>
                </pt>
                <pt idx="1">
                  <v>Amodei — entry-level jobs eliminated</v>
                </pt>
                <pt idx="2">
                  <v>Huang — every job 'affected'</v>
                </pt>
                <pt idx="3">
                  <v>Anthropic Economic Index — jobs with 25%+ task exposure</v>
                </pt>
                <pt idx="4">
                  <v>Capgemini exec expectation — tasks automated 2yrs</v>
                </pt>
                <pt idx="5">
                  <v>MEASURED — task uplift midpoint (RCT)</v>
                </pt>
                <pt idx="6">
                  <v>MEASURED — function-level cost saving modal</v>
                </pt>
                <pt idx="7">
                  <v>MEASURED — FinServ profitability lift</v>
                </pt>
              </strCache>
            </strRef>
          </cat>
          <val>
            <numRef>
              <f>'HY01'!$B$15:$B$22</f>
              <numCache>
                <formatCode>General</formatCode>
                <ptCount val="8"/>
                <pt idx="1">
                  <v>50</v>
                </pt>
                <pt idx="2">
                  <v>100</v>
                </pt>
                <pt idx="3">
                  <v>49</v>
                </pt>
                <pt idx="4">
                  <v>70</v>
                </pt>
                <pt idx="5">
                  <v>25</v>
                </pt>
                <pt idx="6">
                  <v>8</v>
                </pt>
                <pt idx="7">
                  <v>40</v>
                </pt>
              </numCache>
            </numRef>
          </val>
        </ser>
        <gapWidth val="150"/>
        <overlap val="0"/>
        <axId val="498248"/>
        <axId val="27342804"/>
      </barChart>
      <catAx>
        <axId val="498248"/>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7342804"/>
        <crosses val="autoZero"/>
        <auto val="1"/>
        <lblAlgn val="ctr"/>
        <lblOffset val="100"/>
        <noMultiLvlLbl val="0"/>
      </catAx>
      <valAx>
        <axId val="27342804"/>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982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Augmentation vs automation — Anthropic's own data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'HY02'!B15</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'HY02'!$A$16:$A$19</f>
              <strCache>
                <ptCount val="4"/>
                <pt idx="0">
                  <v>Period / type</v>
                </pt>
                <pt idx="1">
                  <v>Augmentation (Mar 2026)</v>
                </pt>
                <pt idx="2">
                  <v>Automation (Mar 2026)</v>
                </pt>
                <pt idx="3">
                  <v>Augmentation (Aug 2025)</v>
                </pt>
              </strCache>
            </strRef>
          </cat>
          <val>
            <numRef>
              <f>'HY02'!$B$16:$B$19</f>
              <numCache>
                <formatCode>General</formatCode>
                <ptCount val="4"/>
                <pt idx="1">
                  <v>57</v>
                </pt>
                <pt idx="2">
                  <v>43</v>
                </pt>
                <pt idx="3">
                  <v>47</v>
                </pt>
              </numCache>
            </numRef>
          </val>
        </ser>
        <gapWidth val="150"/>
        <overlap val="0"/>
        <axId val="41709240"/>
        <axId val="94953900"/>
      </barChart>
      <catAx>
        <axId val="41709240"/>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94953900"/>
        <crosses val="autoZero"/>
        <auto val="1"/>
        <lblAlgn val="ctr"/>
        <lblOffset val="100"/>
        <noMultiLvlLbl val="0"/>
      </catAx>
      <valAx>
        <axId val="94953900"/>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1709240"/>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Realised productivity uplift by study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'M01'!B15</f>
              <strCache>
                <ptCount val="1"/>
                <pt idx="0">
                  <v>Uplift %</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'M01'!$A$16:$A$23</f>
              <strCache>
                <ptCount val="8"/>
                <pt idx="0">
                  <v>Noy/Zhang writing</v>
                </pt>
                <pt idx="1">
                  <v>Brynjolfsson CS support</v>
                </pt>
                <pt idx="2">
                  <v>BCG-HBS consulting (within frontier)</v>
                </pt>
                <pt idx="3">
                  <v>Copilot dev (controlled)</v>
                </pt>
                <pt idx="4">
                  <v>METR OSS dev (real-world)</v>
                </pt>
                <pt idx="5">
                  <v>BCG AI@Work self-report</v>
                </pt>
                <pt idx="6">
                  <v>MS Copilot speed</v>
                </pt>
                <pt idx="7">
                  <v>McKinsey enterprise (cost save)</v>
                </pt>
              </strCache>
            </strRef>
          </cat>
          <val>
            <numRef>
              <f>'M01'!$B$16:$B$23</f>
              <numCache>
                <formatCode>0%;[RED]\-0%</formatCode>
                <ptCount val="8"/>
                <pt idx="0">
                  <v>0.37</v>
                </pt>
                <pt idx="1">
                  <v>0.15</v>
                </pt>
                <pt idx="2">
                  <v>0.25</v>
                </pt>
                <pt idx="3">
                  <v>0.55</v>
                </pt>
                <pt idx="4">
                  <v>-0.19</v>
                </pt>
                <pt idx="5">
                  <v>0.3</v>
                </pt>
                <pt idx="6">
                  <v>0.29</v>
                </pt>
                <pt idx="7">
                  <v>0.1</v>
                </pt>
              </numCache>
            </numRef>
          </val>
        </ser>
        <gapWidth val="150"/>
        <overlap val="0"/>
        <axId val="55419572"/>
        <axId val="61802689"/>
      </barChart>
      <catAx>
        <axId val="55419572"/>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61802689"/>
        <crosses val="autoZero"/>
        <auto val="1"/>
        <lblAlgn val="ctr"/>
        <lblOffset val="100"/>
        <noMultiLvlLbl val="0"/>
      </catAx>
      <valAx>
        <axId val="61802689"/>
        <scaling>
          <orientation val="minMax"/>
        </scaling>
        <delete val="0"/>
        <axPos val="l"/>
        <majorGridlines>
          <spPr>
            <a:ln xmlns:a="http://schemas.openxmlformats.org/drawingml/2006/main" w="9360">
              <a:solidFill>
                <a:srgbClr val="878787"/>
              </a:solidFill>
              <a:prstDash val="solid"/>
              <a:round/>
            </a:ln>
          </spPr>
        </majorGridlines>
        <numFmt formatCode="0%;[RED]\-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5541957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GenAI economic value by function ($B/year, midpoint)</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'M02'!B4</f>
              <strCache>
                <ptCount val="1"/>
                <pt idx="0">
                  <v>Annual value contribution ($B, midpoint)</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'M02'!$A$5:$A$9</f>
              <strCache>
                <ptCount val="5"/>
                <pt idx="0">
                  <v>Customer operations</v>
                </pt>
                <pt idx="1">
                  <v>Marketing &amp; sales</v>
                </pt>
                <pt idx="2">
                  <v>Software engineering</v>
                </pt>
                <pt idx="3">
                  <v>R&amp;D</v>
                </pt>
                <pt idx="4">
                  <v>All other functions combined</v>
                </pt>
              </strCache>
            </strRef>
          </cat>
          <val>
            <numRef>
              <f>'M02'!$B$5:$B$9</f>
              <numCache>
                <formatCode>\$#,##0</formatCode>
                <ptCount val="5"/>
                <pt idx="0">
                  <v>525</v>
                </pt>
                <pt idx="1">
                  <v>575</v>
                </pt>
                <pt idx="2">
                  <v>425</v>
                </pt>
                <pt idx="3">
                  <v>325</v>
                </pt>
                <pt idx="4">
                  <v>1650</v>
                </pt>
              </numCache>
            </numRef>
          </val>
        </ser>
        <gapWidth val="150"/>
        <overlap val="0"/>
        <axId val="27755371"/>
        <axId val="60873385"/>
      </barChart>
      <catAx>
        <axId val="2775537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60873385"/>
        <crosses val="autoZero"/>
        <auto val="1"/>
        <lblAlgn val="ctr"/>
        <lblOffset val="100"/>
        <noMultiLvlLbl val="0"/>
      </catAx>
      <valAx>
        <axId val="60873385"/>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775537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Annual productivity uplift (percentage points)</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'M03'!B12</f>
              <strCache>
                <ptCount val="1"/>
                <pt idx="0">
                  <v>Annual uplift (pp)</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'M03'!$A$13:$A$17</f>
              <strCache>
                <ptCount val="5"/>
                <pt idx="0">
                  <v>Goldman 2023 (Briggs/Kodnani)</v>
                </pt>
                <pt idx="1">
                  <v>PwC realised (AI-exposed sectors)</v>
                </pt>
                <pt idx="2">
                  <v>McKinsey MGI midpoint</v>
                </pt>
                <pt idx="3">
                  <v>Acemoglu (MIT) annualised</v>
                </pt>
                <pt idx="4">
                  <v>Goldman 2025 (Hatzius)</v>
                </pt>
              </strCache>
            </strRef>
          </cat>
          <val>
            <numRef>
              <f>'M03'!$B$13:$B$17</f>
              <numCache>
                <formatCode>General</formatCode>
                <ptCount val="5"/>
                <pt idx="0">
                  <v>1.5</v>
                </pt>
                <pt idx="1">
                  <v>4</v>
                </pt>
                <pt idx="2">
                  <v>0.35</v>
                </pt>
                <pt idx="3">
                  <v>0.05</v>
                </pt>
                <pt idx="4">
                  <v>0</v>
                </pt>
              </numCache>
            </numRef>
          </val>
        </ser>
        <gapWidth val="150"/>
        <overlap val="0"/>
        <axId val="83115871"/>
        <axId val="8210867"/>
      </barChart>
      <catAx>
        <axId val="8311587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210867"/>
        <crosses val="autoZero"/>
        <auto val="1"/>
        <lblAlgn val="ctr"/>
        <lblOffset val="100"/>
        <noMultiLvlLbl val="0"/>
      </catAx>
      <valAx>
        <axId val="8210867"/>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311587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GenAI pilot outcomes — MIT NANDA 2025</a:t>
            </a:r>
          </a:p>
        </rich>
      </tx>
      <overlay val="0"/>
      <spPr>
        <a:noFill xmlns:a="http://schemas.openxmlformats.org/drawingml/2006/main"/>
        <a:ln xmlns:a="http://schemas.openxmlformats.org/drawingml/2006/main" w="0">
          <a:noFill/>
          <a:prstDash val="solid"/>
        </a:ln>
      </spPr>
    </title>
    <plotArea>
      <pieChart>
        <varyColors val="1"/>
        <ser>
          <idx val="0"/>
          <order val="0"/>
          <tx>
            <strRef>
              <f>'M04'!B4</f>
              <strCache>
                <ptCount val="1"/>
                <pt idx="0">
                  <v>Share of total</v>
                </pt>
              </strCache>
            </strRef>
          </tx>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12600">
                <a:noFill/>
                <a:prstDash val="solid"/>
              </a:ln>
            </spPr>
          </dPt>
          <dPt>
            <idx val="1"/>
            <spPr>
              <a:solidFill xmlns:a="http://schemas.openxmlformats.org/drawingml/2006/main">
                <a:srgbClr val="C0504D"/>
              </a:solidFill>
              <a:ln xmlns:a="http://schemas.openxmlformats.org/drawingml/2006/main" w="12600">
                <a:noFill/>
                <a:prstDash val="solid"/>
              </a:ln>
            </spPr>
          </dPt>
          <dLbls>
            <dLbl>
              <idx val="0"/>
              <numFmt formatCode="0%"/>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1"/>
              <numFmt formatCode="0%"/>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numFmt formatCode="0%"/>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showLeaderLines val="1"/>
          </dLbls>
          <cat>
            <strRef>
              <f>'M04'!$A$5:$A$6</f>
              <strCache>
                <ptCount val="2"/>
                <pt idx="0">
                  <v>Rapid revenue acceleration</v>
                </pt>
                <pt idx="1">
                  <v>Stalled / no P&amp;L impact</v>
                </pt>
              </strCache>
            </strRef>
          </cat>
          <val>
            <numRef>
              <f>'M04'!$B$5:$B$6</f>
              <numCache>
                <formatCode>0%</formatCode>
                <ptCount val="2"/>
                <pt idx="0">
                  <v>0.05</v>
                </pt>
                <pt idx="1">
                  <v>0.95</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 of organisations reporting cost savings — by function</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'M05'!B13</f>
              <strCache>
                <ptCount val="1"/>
                <pt idx="0">
                  <v>% reporting cost savings</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'M05'!$A$14:$A$19</f>
              <strCache>
                <ptCount val="6"/>
                <pt idx="0">
                  <v>Service operations</v>
                </pt>
                <pt idx="1">
                  <v>Supply chain</v>
                </pt>
                <pt idx="2">
                  <v>Software engineering</v>
                </pt>
                <pt idx="3">
                  <v>Marketing &amp; sales</v>
                </pt>
                <pt idx="4">
                  <v>HR</v>
                </pt>
                <pt idx="5">
                  <v>Strategy &amp; finance</v>
                </pt>
              </strCache>
            </strRef>
          </cat>
          <val>
            <numRef>
              <f>'M05'!$B$14:$B$19</f>
              <numCache>
                <formatCode>General</formatCode>
                <ptCount val="6"/>
                <pt idx="0">
                  <v>49</v>
                </pt>
                <pt idx="1">
                  <v>43</v>
                </pt>
                <pt idx="2">
                  <v>41</v>
                </pt>
                <pt idx="3">
                  <v>30</v>
                </pt>
                <pt idx="4">
                  <v>27</v>
                </pt>
                <pt idx="5">
                  <v>28</v>
                </pt>
              </numCache>
            </numRef>
          </val>
        </ser>
        <gapWidth val="150"/>
        <overlap val="0"/>
        <axId val="8993621"/>
        <axId val="66991718"/>
      </barChart>
      <catAx>
        <axId val="899362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66991718"/>
        <crosses val="autoZero"/>
        <auto val="1"/>
        <lblAlgn val="ctr"/>
        <lblOffset val="100"/>
        <noMultiLvlLbl val="0"/>
      </catAx>
      <valAx>
        <axId val="66991718"/>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99362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AI adoption rate by population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'M06'!B14</f>
              <strCache>
                <ptCount val="1"/>
                <pt idx="0">
                  <v>Adoption rate %</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'M06'!$A$15:$A$19</f>
              <strCache>
                <ptCount val="5"/>
                <pt idx="0">
                  <v>Knowledge workers (MS WTI)</v>
                </pt>
                <pt idx="1">
                  <v>Org-level (McKinsey/Stanford)</v>
                </pt>
                <pt idx="2">
                  <v>Workers (BCG AI@Work)</v>
                </pt>
                <pt idx="3">
                  <v>US firms (any function)</v>
                </pt>
                <pt idx="4">
                  <v>US firms (production)</v>
                </pt>
              </strCache>
            </strRef>
          </cat>
          <val>
            <numRef>
              <f>'M06'!$B$15:$B$19</f>
              <numCache>
                <formatCode>General</formatCode>
                <ptCount val="5"/>
                <pt idx="0">
                  <v>75</v>
                </pt>
                <pt idx="1">
                  <v>78</v>
                </pt>
                <pt idx="2">
                  <v>72</v>
                </pt>
                <pt idx="3">
                  <v>17.3</v>
                </pt>
                <pt idx="4">
                  <v>10</v>
                </pt>
              </numCache>
            </numRef>
          </val>
        </ser>
        <gapWidth val="150"/>
        <overlap val="0"/>
        <axId val="94460982"/>
        <axId val="35006221"/>
      </barChart>
      <catAx>
        <axId val="94460982"/>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35006221"/>
        <crosses val="autoZero"/>
        <auto val="1"/>
        <lblAlgn val="ctr"/>
        <lblOffset val="100"/>
        <noMultiLvlLbl val="0"/>
      </catAx>
      <valAx>
        <axId val="35006221"/>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9446098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Executive expectation — AI task automation,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'M07'!B10</f>
              <strCache>
                <ptCount val="1"/>
                <pt idx="0">
                  <v>%</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'M07'!$A$11:$A$13</f>
              <strCache>
                <ptCount val="3"/>
                <pt idx="0">
                  <v>Tasks automated — last 2 years</v>
                </pt>
                <pt idx="1">
                  <v>Tasks to be automated — next 2 years</v>
                </pt>
                <pt idx="2">
                  <v>Employee time freed up — next 2 years</v>
                </pt>
              </strCache>
            </strRef>
          </cat>
          <val>
            <numRef>
              <f>'M07'!$B$11:$B$13</f>
              <numCache>
                <formatCode>General</formatCode>
                <ptCount val="3"/>
                <pt idx="0">
                  <v>30</v>
                </pt>
                <pt idx="1">
                  <v>40</v>
                </pt>
                <pt idx="2">
                  <v>39</v>
                </pt>
              </numCache>
            </numRef>
          </val>
        </ser>
        <gapWidth val="150"/>
        <overlap val="0"/>
        <axId val="30197920"/>
        <axId val="22520741"/>
      </barChart>
      <catAx>
        <axId val="30197920"/>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2520741"/>
        <crosses val="autoZero"/>
        <auto val="1"/>
        <lblAlgn val="ctr"/>
        <lblOffset val="100"/>
        <noMultiLvlLbl val="0"/>
      </catAx>
      <valAx>
        <axId val="22520741"/>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30197920"/>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AI CapEx vs realised + required revenue ($B)</a:t>
            </a:r>
          </a:p>
        </rich>
      </tx>
    </title>
    <plotArea>
      <barChart>
        <barDir val="bar"/>
        <grouping val="clustered"/>
        <ser>
          <idx val="0"/>
          <order val="0"/>
          <tx>
            <strRef>
              <f>'CX01'!B38</f>
            </strRef>
          </tx>
          <spPr>
            <a:ln xmlns:a="http://schemas.openxmlformats.org/drawingml/2006/main">
              <a:prstDash val="solid"/>
            </a:ln>
          </spPr>
          <cat>
            <numRef>
              <f>'CX01'!$A$39:$A$42</f>
            </numRef>
          </cat>
          <val>
            <numRef>
              <f>'CX01'!$B$39:$B$42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Productivity uplift by tech revolution (% per year)</a:t>
            </a:r>
          </a:p>
        </rich>
      </tx>
    </title>
    <plotArea>
      <barChart>
        <barDir val="bar"/>
        <grouping val="clustered"/>
        <ser>
          <idx val="0"/>
          <order val="0"/>
          <tx>
            <strRef>
              <f>'HX01'!B21</f>
            </strRef>
          </tx>
          <spPr>
            <a:ln xmlns:a="http://schemas.openxmlformats.org/drawingml/2006/main">
              <a:prstDash val="solid"/>
            </a:ln>
          </spPr>
          <cat>
            <numRef>
              <f>'HX01'!$A$22:$A$28</f>
            </numRef>
          </cat>
          <val>
            <numRef>
              <f>'HX01'!$B$22:$B$28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Executive expectation — task automation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'ST01'!B9</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'ST01'!$A$10:$A$12</f>
              <strCache>
                <ptCount val="3"/>
                <pt idx="0">
                  <v>Metric</v>
                </pt>
                <pt idx="1">
                  <v>Automated last 2 yrs</v>
                </pt>
                <pt idx="2">
                  <v>Additional next 2 yrs</v>
                </pt>
              </strCache>
            </strRef>
          </cat>
          <val>
            <numRef>
              <f>'ST01'!$B$10:$B$12</f>
              <numCache>
                <formatCode>General</formatCode>
                <ptCount val="3"/>
                <pt idx="1">
                  <v>30</v>
                </pt>
                <pt idx="2">
                  <v>40</v>
                </pt>
              </numCache>
            </numRef>
          </val>
        </ser>
        <gapWidth val="150"/>
        <overlap val="0"/>
        <axId val="80518222"/>
        <axId val="42847244"/>
      </barChart>
      <catAx>
        <axId val="80518222"/>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2847244"/>
        <crosses val="autoZero"/>
        <auto val="1"/>
        <lblAlgn val="ctr"/>
        <lblOffset val="100"/>
        <noMultiLvlLbl val="0"/>
      </catAx>
      <valAx>
        <axId val="42847244"/>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051822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AI cost reduction by function — modal band midpoint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'ST02'!B12</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'ST02'!$A$13:$A$18</f>
              <strCache>
                <ptCount val="6"/>
                <pt idx="0">
                  <v>Function</v>
                </pt>
                <pt idx="1">
                  <v>Marketing &amp; sales</v>
                </pt>
                <pt idx="2">
                  <v>HR</v>
                </pt>
                <pt idx="3">
                  <v>IT (general)</v>
                </pt>
                <pt idx="4">
                  <v>IT (heavier deployments)</v>
                </pt>
                <pt idx="5">
                  <v>Software engineering</v>
                </pt>
              </strCache>
            </strRef>
          </cat>
          <val>
            <numRef>
              <f>'ST02'!$B$13:$B$18</f>
              <numCache>
                <formatCode>General</formatCode>
                <ptCount val="6"/>
                <pt idx="1">
                  <v>5</v>
                </pt>
                <pt idx="2">
                  <v>5</v>
                </pt>
                <pt idx="3">
                  <v>7</v>
                </pt>
                <pt idx="4">
                  <v>15</v>
                </pt>
                <pt idx="5">
                  <v>15</v>
                </pt>
              </numCache>
            </numRef>
          </val>
        </ser>
        <gapWidth val="150"/>
        <overlap val="0"/>
        <axId val="16023670"/>
        <axId val="17940007"/>
      </barChart>
      <catAx>
        <axId val="16023670"/>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7940007"/>
        <crosses val="autoZero"/>
        <auto val="1"/>
        <lblAlgn val="ctr"/>
        <lblOffset val="100"/>
        <noMultiLvlLbl val="0"/>
      </catAx>
      <valAx>
        <axId val="17940007"/>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6023670"/>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AI revenue impact in financial services — distribution</a:t>
            </a:r>
          </a:p>
        </rich>
      </tx>
      <overlay val="0"/>
      <spPr>
        <a:noFill xmlns:a="http://schemas.openxmlformats.org/drawingml/2006/main"/>
        <a:ln xmlns:a="http://schemas.openxmlformats.org/drawingml/2006/main" w="0">
          <a:noFill/>
          <a:prstDash val="solid"/>
        </a:ln>
      </spPr>
    </title>
    <plotArea>
      <pieChart>
        <varyColors val="1"/>
        <ser>
          <idx val="0"/>
          <order val="0"/>
          <tx>
            <strRef>
              <f>'ST03'!B10</f>
              <strCache>
                <ptCount val="1"/>
                <pt idx="0">
                  <v>None</v>
                </pt>
              </strCache>
            </strRef>
          </tx>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12600">
                <a:noFill/>
                <a:prstDash val="solid"/>
              </a:ln>
            </spPr>
          </dPt>
          <dPt>
            <idx val="1"/>
            <spPr>
              <a:solidFill xmlns:a="http://schemas.openxmlformats.org/drawingml/2006/main">
                <a:srgbClr val="C0504D"/>
              </a:solidFill>
              <a:ln xmlns:a="http://schemas.openxmlformats.org/drawingml/2006/main" w="12600">
                <a:noFill/>
                <a:prstDash val="solid"/>
              </a:ln>
            </spPr>
          </dPt>
          <dPt>
            <idx val="2"/>
            <spPr>
              <a:solidFill xmlns:a="http://schemas.openxmlformats.org/drawingml/2006/main">
                <a:srgbClr val="9BBB59"/>
              </a:solidFill>
              <a:ln xmlns:a="http://schemas.openxmlformats.org/drawingml/2006/main" w="12600">
                <a:noFill/>
                <a:prstDash val="solid"/>
              </a:ln>
            </spPr>
          </dPt>
          <dPt>
            <idx val="3"/>
            <spPr>
              <a:solidFill xmlns:a="http://schemas.openxmlformats.org/drawingml/2006/main">
                <a:srgbClr val="8064A2"/>
              </a:solidFill>
              <a:ln xmlns:a="http://schemas.openxmlformats.org/drawingml/2006/main" w="1260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2"/>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3"/>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showLeaderLines val="1"/>
          </dLbls>
          <cat>
            <strRef>
              <f>'ST03'!$A$11:$A$14</f>
              <strCache>
                <ptCount val="4"/>
                <pt idx="0">
                  <v>Band</v>
                </pt>
                <pt idx="1">
                  <v>5–10% revenue</v>
                </pt>
                <pt idx="2">
                  <v>10–20% revenue</v>
                </pt>
                <pt idx="3">
                  <v>&gt;20% revenue</v>
                </pt>
              </strCache>
            </strRef>
          </cat>
          <val>
            <numRef>
              <f>'ST03'!$B$11:$B$14</f>
              <numCache>
                <formatCode>General</formatCode>
                <ptCount val="4"/>
                <pt idx="1">
                  <v>29</v>
                </pt>
                <pt idx="2">
                  <v>16</v>
                </pt>
                <pt idx="3">
                  <v>23</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AI profitability impact — FinServ 2026</a:t>
            </a:r>
          </a:p>
        </rich>
      </tx>
      <overlay val="0"/>
      <spPr>
        <a:noFill xmlns:a="http://schemas.openxmlformats.org/drawingml/2006/main"/>
        <a:ln xmlns:a="http://schemas.openxmlformats.org/drawingml/2006/main" w="0">
          <a:noFill/>
          <a:prstDash val="solid"/>
        </a:ln>
      </spPr>
    </title>
    <plotArea>
      <pieChart>
        <varyColors val="1"/>
        <ser>
          <idx val="0"/>
          <order val="0"/>
          <tx>
            <strRef>
              <f>'ST04'!B9</f>
              <strCache>
                <ptCount val="1"/>
                <pt idx="0">
                  <v>None</v>
                </pt>
              </strCache>
            </strRef>
          </tx>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12600">
                <a:noFill/>
                <a:prstDash val="solid"/>
              </a:ln>
            </spPr>
          </dPt>
          <dPt>
            <idx val="1"/>
            <spPr>
              <a:solidFill xmlns:a="http://schemas.openxmlformats.org/drawingml/2006/main">
                <a:srgbClr val="C0504D"/>
              </a:solidFill>
              <a:ln xmlns:a="http://schemas.openxmlformats.org/drawingml/2006/main" w="12600">
                <a:noFill/>
                <a:prstDash val="solid"/>
              </a:ln>
            </spPr>
          </dPt>
          <dPt>
            <idx val="2"/>
            <spPr>
              <a:solidFill xmlns:a="http://schemas.openxmlformats.org/drawingml/2006/main">
                <a:srgbClr val="9BBB59"/>
              </a:solidFill>
              <a:ln xmlns:a="http://schemas.openxmlformats.org/drawingml/2006/main" w="1260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2"/>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showLeaderLines val="1"/>
          </dLbls>
          <cat>
            <strRef>
              <f>'ST04'!$A$10:$A$12</f>
              <strCache>
                <ptCount val="3"/>
                <pt idx="0">
                  <v>Outcome</v>
                </pt>
                <pt idx="1">
                  <v>Increased / significantly increased</v>
                </pt>
                <pt idx="2">
                  <v>No change</v>
                </pt>
              </strCache>
            </strRef>
          </cat>
          <val>
            <numRef>
              <f>'ST04'!$B$10:$B$12</f>
              <numCache>
                <formatCode>General</formatCode>
                <ptCount val="3"/>
                <pt idx="1">
                  <v>40</v>
                </pt>
                <pt idx="2">
                  <v>43</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AI profitability lift — Fintech vs Traditional FI</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'ST05'!B8</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'ST05'!$A$9:$A$10</f>
              <strCache>
                <ptCount val="2"/>
                <pt idx="0">
                  <v>Firm type</v>
                </pt>
                <pt idx="1">
                  <v>Fintech</v>
                </pt>
              </strCache>
            </strRef>
          </cat>
          <val>
            <numRef>
              <f>'ST05'!$B$9:$B$10</f>
              <numCache>
                <formatCode>General</formatCode>
                <ptCount val="2"/>
                <pt idx="1">
                  <v>56</v>
                </pt>
              </numCache>
            </numRef>
          </val>
        </ser>
        <gapWidth val="150"/>
        <overlap val="0"/>
        <axId val="87453695"/>
        <axId val="79192428"/>
      </barChart>
      <catAx>
        <axId val="87453695"/>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79192428"/>
        <crosses val="autoZero"/>
        <auto val="1"/>
        <lblAlgn val="ctr"/>
        <lblOffset val="100"/>
        <noMultiLvlLbl val="0"/>
      </catAx>
      <valAx>
        <axId val="79192428"/>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7453695"/>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AI job impact in FinServ — last 3 years</a:t>
            </a:r>
          </a:p>
        </rich>
      </tx>
      <overlay val="0"/>
      <spPr>
        <a:noFill xmlns:a="http://schemas.openxmlformats.org/drawingml/2006/main"/>
        <a:ln xmlns:a="http://schemas.openxmlformats.org/drawingml/2006/main" w="0">
          <a:noFill/>
          <a:prstDash val="solid"/>
        </a:ln>
      </spPr>
    </title>
    <plotArea>
      <pieChart>
        <varyColors val="1"/>
        <ser>
          <idx val="0"/>
          <order val="0"/>
          <tx>
            <strRef>
              <f>'ST06'!B9</f>
              <strCache>
                <ptCount val="1"/>
                <pt idx="0">
                  <v>None</v>
                </pt>
              </strCache>
            </strRef>
          </tx>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12600">
                <a:noFill/>
                <a:prstDash val="solid"/>
              </a:ln>
            </spPr>
          </dPt>
          <dPt>
            <idx val="1"/>
            <spPr>
              <a:solidFill xmlns:a="http://schemas.openxmlformats.org/drawingml/2006/main">
                <a:srgbClr val="C0504D"/>
              </a:solidFill>
              <a:ln xmlns:a="http://schemas.openxmlformats.org/drawingml/2006/main" w="12600">
                <a:noFill/>
                <a:prstDash val="solid"/>
              </a:ln>
            </spPr>
          </dPt>
          <dPt>
            <idx val="2"/>
            <spPr>
              <a:solidFill xmlns:a="http://schemas.openxmlformats.org/drawingml/2006/main">
                <a:srgbClr val="9BBB59"/>
              </a:solidFill>
              <a:ln xmlns:a="http://schemas.openxmlformats.org/drawingml/2006/main" w="1260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2"/>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showLeaderLines val="1"/>
          </dLbls>
          <cat>
            <strRef>
              <f>'ST06'!$A$10:$A$12</f>
              <strCache>
                <ptCount val="3"/>
                <pt idx="0">
                  <v>Outcome</v>
                </pt>
                <pt idx="1">
                  <v>Minimal</v>
                </pt>
                <pt idx="2">
                  <v>Unsure</v>
                </pt>
              </strCache>
            </strRef>
          </cat>
          <val>
            <numRef>
              <f>'ST06'!$B$10:$B$12</f>
              <numCache>
                <formatCode>General</formatCode>
                <ptCount val="3"/>
                <pt idx="1">
                  <v>44</v>
                </pt>
                <pt idx="2">
                  <v>30</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GenAI value distribution by function (Statista)</a:t>
            </a:r>
          </a:p>
        </rich>
      </tx>
      <overlay val="0"/>
      <spPr>
        <a:noFill xmlns:a="http://schemas.openxmlformats.org/drawingml/2006/main"/>
        <a:ln xmlns:a="http://schemas.openxmlformats.org/drawingml/2006/main" w="0">
          <a:noFill/>
          <a:prstDash val="solid"/>
        </a:ln>
      </spPr>
    </title>
    <plotArea>
      <pieChart>
        <varyColors val="1"/>
        <ser>
          <idx val="0"/>
          <order val="0"/>
          <tx>
            <strRef>
              <f>'ST07'!B11</f>
              <strCache>
                <ptCount val="1"/>
                <pt idx="0">
                  <v>None</v>
                </pt>
              </strCache>
            </strRef>
          </tx>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12600">
                <a:noFill/>
                <a:prstDash val="solid"/>
              </a:ln>
            </spPr>
          </dPt>
          <dPt>
            <idx val="1"/>
            <spPr>
              <a:solidFill xmlns:a="http://schemas.openxmlformats.org/drawingml/2006/main">
                <a:srgbClr val="C0504D"/>
              </a:solidFill>
              <a:ln xmlns:a="http://schemas.openxmlformats.org/drawingml/2006/main" w="1260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showLeaderLines val="1"/>
          </dLbls>
          <cat>
            <strRef>
              <f>'ST07'!$A$12:$A$13</f>
              <strCache>
                <ptCount val="2"/>
                <pt idx="0">
                  <v>Function bloc</v>
                </pt>
                <pt idx="1">
                  <v>Front-office</v>
                </pt>
              </strCache>
            </strRef>
          </cat>
          <val>
            <numRef>
              <f>'ST07'!$B$12:$B$13</f>
              <numCache>
                <formatCode>General</formatCode>
                <ptCount val="2"/>
                <pt idx="1">
                  <v>38.4</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Preferred pricing models for agentic AI (% of orgs)</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'ST08'!B11</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'ST08'!$A$12:$A$16</f>
              <strCache>
                <ptCount val="5"/>
                <pt idx="0">
                  <v>Model</v>
                </pt>
                <pt idx="1">
                  <v>Consumption-based</v>
                </pt>
                <pt idx="2">
                  <v>Platform-based</v>
                </pt>
                <pt idx="3">
                  <v>License-based</v>
                </pt>
                <pt idx="4">
                  <v>Tier-based</v>
                </pt>
              </strCache>
            </strRef>
          </cat>
          <val>
            <numRef>
              <f>'ST08'!$B$12:$B$16</f>
              <numCache>
                <formatCode>General</formatCode>
                <ptCount val="5"/>
                <pt idx="1">
                  <v>55</v>
                </pt>
                <pt idx="2">
                  <v>43</v>
                </pt>
                <pt idx="3">
                  <v>37</v>
                </pt>
                <pt idx="4">
                  <v>33</v>
                </pt>
              </numCache>
            </numRef>
          </val>
        </ser>
        <gapWidth val="150"/>
        <overlap val="0"/>
        <axId val="76571404"/>
        <axId val="27841148"/>
      </barChart>
      <catAx>
        <axId val="76571404"/>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7841148"/>
        <crosses val="autoZero"/>
        <auto val="1"/>
        <lblAlgn val="ctr"/>
        <lblOffset val="100"/>
        <noMultiLvlLbl val="0"/>
      </catAx>
      <valAx>
        <axId val="27841148"/>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7657140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Will hourly rate billing shrink in 5 years?</a:t>
            </a:r>
          </a:p>
        </rich>
      </tx>
      <overlay val="0"/>
      <spPr>
        <a:noFill xmlns:a="http://schemas.openxmlformats.org/drawingml/2006/main"/>
        <a:ln xmlns:a="http://schemas.openxmlformats.org/drawingml/2006/main" w="0">
          <a:noFill/>
          <a:prstDash val="solid"/>
        </a:ln>
      </spPr>
    </title>
    <plotArea>
      <pieChart>
        <varyColors val="1"/>
        <ser>
          <idx val="0"/>
          <order val="0"/>
          <tx>
            <strRef>
              <f>'ST09'!B8</f>
              <strCache>
                <ptCount val="1"/>
                <pt idx="0">
                  <v>None</v>
                </pt>
              </strCache>
            </strRef>
          </tx>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12600">
                <a:noFill/>
                <a:prstDash val="solid"/>
              </a:ln>
            </spPr>
          </dPt>
          <dPt>
            <idx val="1"/>
            <spPr>
              <a:solidFill xmlns:a="http://schemas.openxmlformats.org/drawingml/2006/main">
                <a:srgbClr val="C0504D"/>
              </a:solidFill>
              <a:ln xmlns:a="http://schemas.openxmlformats.org/drawingml/2006/main" w="1260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showLeaderLines val="1"/>
          </dLbls>
          <cat>
            <strRef>
              <f>'ST09'!$A$9:$A$10</f>
              <strCache>
                <ptCount val="2"/>
                <pt idx="0">
                  <v>Outlook</v>
                </pt>
                <pt idx="1">
                  <v>Hourly billing shrinks</v>
                </pt>
              </strCache>
            </strRef>
          </cat>
          <val>
            <numRef>
              <f>'ST09'!$B$9:$B$10</f>
              <numCache>
                <formatCode>General</formatCode>
                <ptCount val="2"/>
                <pt idx="1">
                  <v>44</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US labour productivity — scenario range</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'ST10'!B9</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'ST10'!$A$10:$A$12</f>
              <strCache>
                <ptCount val="3"/>
                <pt idx="0">
                  <v>Scenario</v>
                </pt>
                <pt idx="1">
                  <v>Baseline AI scenario</v>
                </pt>
                <pt idx="2">
                  <v>Powerful AI scenario</v>
                </pt>
              </strCache>
            </strRef>
          </cat>
          <val>
            <numRef>
              <f>'ST10'!$B$10:$B$12</f>
              <numCache>
                <formatCode>General</formatCode>
                <ptCount val="3"/>
                <pt idx="1">
                  <v>1.5</v>
                </pt>
                <pt idx="2">
                  <v>2.9</v>
                </pt>
              </numCache>
            </numRef>
          </val>
        </ser>
        <gapWidth val="150"/>
        <overlap val="0"/>
        <axId val="89554845"/>
        <axId val="67129016"/>
      </barChart>
      <catAx>
        <axId val="89554845"/>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67129016"/>
        <crosses val="autoZero"/>
        <auto val="1"/>
        <lblAlgn val="ctr"/>
        <lblOffset val="100"/>
        <noMultiLvlLbl val="0"/>
      </catAx>
      <valAx>
        <axId val="67129016"/>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9554845"/>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Software dev productivity — claimed vs measured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'S01'!B12</f>
              <strCache>
                <ptCount val="1"/>
                <pt idx="0">
                  <v>Productivity %</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'S01'!$A$13:$A$16</f>
              <strCache>
                <ptCount val="4"/>
                <pt idx="0">
                  <v>Copilot RCT — green-field</v>
                </pt>
                <pt idx="1">
                  <v>MS Copilot — internal speed</v>
                </pt>
                <pt idx="2">
                  <v>Dev self-report (Vena)</v>
                </pt>
                <pt idx="3">
                  <v>METR — real-world OSS</v>
                </pt>
              </strCache>
            </strRef>
          </cat>
          <val>
            <numRef>
              <f>'S01'!$B$13:$B$16</f>
              <numCache>
                <formatCode>General</formatCode>
                <ptCount val="4"/>
                <pt idx="0">
                  <v>55</v>
                </pt>
                <pt idx="1">
                  <v>29</v>
                </pt>
                <pt idx="2">
                  <v>88</v>
                </pt>
                <pt idx="3">
                  <v>-19</v>
                </pt>
              </numCache>
            </numRef>
          </val>
        </ser>
        <gapWidth val="150"/>
        <overlap val="0"/>
        <axId val="78414211"/>
        <axId val="53456731"/>
      </barChart>
      <catAx>
        <axId val="7841421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53456731"/>
        <crosses val="autoZero"/>
        <auto val="1"/>
        <lblAlgn val="ctr"/>
        <lblOffset val="100"/>
        <noMultiLvlLbl val="0"/>
      </catAx>
      <valAx>
        <axId val="53456731"/>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7841421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AI uplift skews to lower-skilled — % issues/hr gain</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'S02'!B11</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'S02'!$A$12:$A$14</f>
              <strCache>
                <ptCount val="3"/>
                <pt idx="0">
                  <v>Skill cohort</v>
                </pt>
                <pt idx="1">
                  <v>Bottom skill quintile</v>
                </pt>
                <pt idx="2">
                  <v>Median worker</v>
                </pt>
              </strCache>
            </strRef>
          </cat>
          <val>
            <numRef>
              <f>'S02'!$B$12:$B$14</f>
              <numCache>
                <formatCode>General</formatCode>
                <ptCount val="3"/>
                <pt idx="1">
                  <v>34</v>
                </pt>
                <pt idx="2">
                  <v>14</v>
                </pt>
              </numCache>
            </numRef>
          </val>
        </ser>
        <gapWidth val="150"/>
        <overlap val="0"/>
        <axId val="43018678"/>
        <axId val="960843"/>
      </barChart>
      <catAx>
        <axId val="43018678"/>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960843"/>
        <crosses val="autoZero"/>
        <auto val="1"/>
        <lblAlgn val="ctr"/>
        <lblOffset val="100"/>
        <noMultiLvlLbl val="0"/>
      </catAx>
      <valAx>
        <axId val="960843"/>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301867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Writing productivity — Noy &amp; Zhang RCT</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'S03'!B11</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'S03'!$A$12:$A$14</f>
              <strCache>
                <ptCount val="3"/>
                <pt idx="0">
                  <v>Metric</v>
                </pt>
                <pt idx="1">
                  <v>Time saved</v>
                </pt>
                <pt idx="2">
                  <v>Quality improvement (SD-normalised)</v>
                </pt>
              </strCache>
            </strRef>
          </cat>
          <val>
            <numRef>
              <f>'S03'!$B$12:$B$14</f>
              <numCache>
                <formatCode>General</formatCode>
                <ptCount val="3"/>
                <pt idx="1">
                  <v>37</v>
                </pt>
                <pt idx="2">
                  <v>18</v>
                </pt>
              </numCache>
            </numRef>
          </val>
        </ser>
        <gapWidth val="150"/>
        <overlap val="0"/>
        <axId val="50491939"/>
        <axId val="62046994"/>
      </barChart>
      <catAx>
        <axId val="50491939"/>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62046994"/>
        <crosses val="autoZero"/>
        <auto val="1"/>
        <lblAlgn val="ctr"/>
        <lblOffset val="100"/>
        <noMultiLvlLbl val="0"/>
      </catAx>
      <valAx>
        <axId val="62046994"/>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5049193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Jagged Frontier — productivity by task fit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'S04'!B12</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'S04'!$A$13:$A$16</f>
              <strCache>
                <ptCount val="4"/>
                <pt idx="0">
                  <v>Dimension</v>
                </pt>
                <pt idx="1">
                  <v>Speed (in-frontier)</v>
                </pt>
                <pt idx="2">
                  <v>Quality (in-frontier)</v>
                </pt>
                <pt idx="3">
                  <v>Tasks (in-frontier)</v>
                </pt>
              </strCache>
            </strRef>
          </cat>
          <val>
            <numRef>
              <f>'S04'!$B$13:$B$16</f>
              <numCache>
                <formatCode>General</formatCode>
                <ptCount val="4"/>
                <pt idx="1">
                  <v>25</v>
                </pt>
                <pt idx="2">
                  <v>40</v>
                </pt>
                <pt idx="3">
                  <v>12</v>
                </pt>
              </numCache>
            </numRef>
          </val>
        </ser>
        <gapWidth val="150"/>
        <overlap val="0"/>
        <axId val="72714897"/>
        <axId val="90079362"/>
      </barChart>
      <catAx>
        <axId val="72714897"/>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90079362"/>
        <crosses val="autoZero"/>
        <auto val="1"/>
        <lblAlgn val="ctr"/>
        <lblOffset val="100"/>
        <noMultiLvlLbl val="0"/>
      </catAx>
      <valAx>
        <axId val="90079362"/>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7271489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Sales AI productivity — by evidence quality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'S05'!B12</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'S05'!$A$13:$A$17</f>
              <strCache>
                <ptCount val="5"/>
                <pt idx="0">
                  <v>Claim</v>
                </pt>
                <pt idx="1">
                  <v>Bain independent (pilots)</v>
                </pt>
                <pt idx="2">
                  <v>Salesforce hours saved</v>
                </pt>
                <pt idx="3">
                  <v>HubSpot self-report</v>
                </pt>
                <pt idx="4">
                  <v>Vendor lead-scoring case</v>
                </pt>
              </strCache>
            </strRef>
          </cat>
          <val>
            <numRef>
              <f>'S05'!$B$13:$B$17</f>
              <numCache>
                <formatCode>General</formatCode>
                <ptCount val="5"/>
                <pt idx="1">
                  <v>12</v>
                </pt>
                <pt idx="2">
                  <v>50</v>
                </pt>
                <pt idx="3">
                  <v>73</v>
                </pt>
                <pt idx="4">
                  <v>28</v>
                </pt>
              </numCache>
            </numRef>
          </val>
        </ser>
        <gapWidth val="150"/>
        <overlap val="0"/>
        <axId val="43651240"/>
        <axId val="5426876"/>
      </barChart>
      <catAx>
        <axId val="43651240"/>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5426876"/>
        <crosses val="autoZero"/>
        <auto val="1"/>
        <lblAlgn val="ctr"/>
        <lblOffset val="100"/>
        <noMultiLvlLbl val="0"/>
      </catAx>
      <valAx>
        <axId val="5426876"/>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3651240"/>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JPMorgan COIN — scale of contract automation</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'S06'!B11</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'S06'!$A$12:$A$14</f>
              <strCache>
                <ptCount val="3"/>
                <pt idx="0">
                  <v>Metric</v>
                </pt>
                <pt idx="1">
                  <v>Lawyer hours displaced (000s, annual)</v>
                </pt>
                <pt idx="2">
                  <v>Labour value displaced ($M, annual)</v>
                </pt>
              </strCache>
            </strRef>
          </cat>
          <val>
            <numRef>
              <f>'S06'!$B$12:$B$14</f>
              <numCache>
                <formatCode>General</formatCode>
                <ptCount val="3"/>
                <pt idx="1">
                  <v>360</v>
                </pt>
                <pt idx="2">
                  <v>144</v>
                </pt>
              </numCache>
            </numRef>
          </val>
        </ser>
        <gapWidth val="150"/>
        <overlap val="0"/>
        <axId val="86204791"/>
        <axId val="38210621"/>
      </barChart>
      <catAx>
        <axId val="8620479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38210621"/>
        <crosses val="autoZero"/>
        <auto val="1"/>
        <lblAlgn val="ctr"/>
        <lblOffset val="100"/>
        <noMultiLvlLbl val="0"/>
      </catAx>
      <valAx>
        <axId val="38210621"/>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620479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Physician burnout — before vs after AI scribe</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'S07'!B11</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'S07'!$A$12:$A$13</f>
              <strCache>
                <ptCount val="2"/>
                <pt idx="0">
                  <v>State</v>
                </pt>
                <pt idx="1">
                  <v>Burnout before AI scribe</v>
                </pt>
              </strCache>
            </strRef>
          </cat>
          <val>
            <numRef>
              <f>'S07'!$B$12:$B$13</f>
              <numCache>
                <formatCode>General</formatCode>
                <ptCount val="2"/>
                <pt idx="1">
                  <v>52</v>
                </pt>
              </numCache>
            </numRef>
          </val>
        </ser>
        <gapWidth val="150"/>
        <overlap val="0"/>
        <axId val="51828986"/>
        <axId val="98475974"/>
      </barChart>
      <catAx>
        <axId val="51828986"/>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98475974"/>
        <crosses val="autoZero"/>
        <auto val="1"/>
        <lblAlgn val="ctr"/>
        <lblOffset val="100"/>
        <noMultiLvlLbl val="0"/>
      </catAx>
      <valAx>
        <axId val="98475974"/>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51828986"/>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Budget vs ROI mismatch — MIT NANDA signal</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'S08'!B11</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'S08'!$A$12:$A$15</f>
              <strCache>
                <ptCount val="4"/>
                <pt idx="0">
                  <v>Allocation vs ROI</v>
                </pt>
                <pt idx="1">
                  <v>Sales/Marketing budget share</v>
                </pt>
                <pt idx="2">
                  <v>Back-office budget share</v>
                </pt>
                <pt idx="3">
                  <v>Sales/Marketing where ROI is</v>
                </pt>
              </strCache>
            </strRef>
          </cat>
          <val>
            <numRef>
              <f>'S08'!$B$12:$B$15</f>
              <numCache>
                <formatCode>General</formatCode>
                <ptCount val="4"/>
                <pt idx="1">
                  <v>55</v>
                </pt>
                <pt idx="2">
                  <v>45</v>
                </pt>
                <pt idx="3">
                  <v>30</v>
                </pt>
              </numCache>
            </numRef>
          </val>
        </ser>
        <gapWidth val="150"/>
        <overlap val="0"/>
        <axId val="99468286"/>
        <axId val="78619177"/>
      </barChart>
      <catAx>
        <axId val="99468286"/>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78619177"/>
        <crosses val="autoZero"/>
        <auto val="1"/>
        <lblAlgn val="ctr"/>
        <lblOffset val="100"/>
        <noMultiLvlLbl val="0"/>
      </catAx>
      <valAx>
        <axId val="78619177"/>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99468286"/>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Manufacturing AI — McKinsey lighthouse KPIs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'S09'!B14</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'S09'!$A$15:$A$18</f>
              <strCache>
                <ptCount val="4"/>
                <pt idx="0">
                  <v>KPI</v>
                </pt>
                <pt idx="1">
                  <v>Productivity multiplier</v>
                </pt>
                <pt idx="2">
                  <v>Defect reduction</v>
                </pt>
                <pt idx="3">
                  <v>Service level improvement</v>
                </pt>
              </strCache>
            </strRef>
          </cat>
          <val>
            <numRef>
              <f>'S09'!$B$15:$B$18</f>
              <numCache>
                <formatCode>General</formatCode>
                <ptCount val="4"/>
                <pt idx="1">
                  <v>250</v>
                </pt>
                <pt idx="2">
                  <v>99</v>
                </pt>
                <pt idx="3">
                  <v>50</v>
                </pt>
              </numCache>
            </numRef>
          </val>
        </ser>
        <gapWidth val="150"/>
        <overlap val="0"/>
        <axId val="28233517"/>
        <axId val="7821034"/>
      </barChart>
      <catAx>
        <axId val="28233517"/>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7821034"/>
        <crosses val="autoZero"/>
        <auto val="1"/>
        <lblAlgn val="ctr"/>
        <lblOffset val="100"/>
        <noMultiLvlLbl val="0"/>
      </catAx>
      <valAx>
        <axId val="7821034"/>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823351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AEC/Construction AI-BIM productivity claims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'S10'!B11</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'S10'!$A$12:$A$14</f>
              <strCache>
                <ptCount val="3"/>
                <pt idx="0">
                  <v>Metric</v>
                </pt>
                <pt idx="1">
                  <v>Productivity uplift (max)</v>
                </pt>
                <pt idx="2">
                  <v>Cost reduction (max)</v>
                </pt>
              </strCache>
            </strRef>
          </cat>
          <val>
            <numRef>
              <f>'S10'!$B$12:$B$14</f>
              <numCache>
                <formatCode>General</formatCode>
                <ptCount val="3"/>
                <pt idx="1">
                  <v>30</v>
                </pt>
                <pt idx="2">
                  <v>20</v>
                </pt>
              </numCache>
            </numRef>
          </val>
        </ser>
        <gapWidth val="150"/>
        <overlap val="0"/>
        <axId val="2733445"/>
        <axId val="82885778"/>
      </barChart>
      <catAx>
        <axId val="2733445"/>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2885778"/>
        <crosses val="autoZero"/>
        <auto val="1"/>
        <lblAlgn val="ctr"/>
        <lblOffset val="100"/>
        <noMultiLvlLbl val="0"/>
      </catAx>
      <valAx>
        <axId val="82885778"/>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733445"/>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Khanmigo — measured per-feature learning lift</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'S11'!B10</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'S11'!$A$11:$A$12</f>
              <strCache>
                <ptCount val="2"/>
                <pt idx="0">
                  <v>Feature</v>
                </pt>
                <pt idx="1">
                  <v>Recent history feature</v>
                </pt>
              </strCache>
            </strRef>
          </cat>
          <val>
            <numRef>
              <f>'S11'!$B$11:$B$12</f>
              <numCache>
                <formatCode>General</formatCode>
                <ptCount val="2"/>
                <pt idx="1">
                  <v>3.4</v>
                </pt>
              </numCache>
            </numRef>
          </val>
        </ser>
        <gapWidth val="150"/>
        <overlap val="0"/>
        <axId val="13124311"/>
        <axId val="13388439"/>
      </barChart>
      <catAx>
        <axId val="1312431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3388439"/>
        <crosses val="autoZero"/>
        <auto val="1"/>
        <lblAlgn val="ctr"/>
        <lblOffset val="100"/>
        <noMultiLvlLbl val="0"/>
      </catAx>
      <valAx>
        <axId val="13388439"/>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312431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US federal automation TAM — Deloitte range</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'S12'!B11</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'S12'!$A$12:$A$15</f>
              <strCache>
                <ptCount val="4"/>
                <pt idx="0">
                  <v>Metric</v>
                </pt>
                <pt idx="1">
                  <v>Low-end annual hours (M)</v>
                </pt>
                <pt idx="2">
                  <v>High-end annual hours (M)</v>
                </pt>
                <pt idx="3">
                  <v>Low-end savings ($B)</v>
                </pt>
              </strCache>
            </strRef>
          </cat>
          <val>
            <numRef>
              <f>'S12'!$B$12:$B$15</f>
              <numCache>
                <formatCode>General</formatCode>
                <ptCount val="4"/>
                <pt idx="1">
                  <v>97</v>
                </pt>
                <pt idx="2">
                  <v>1200</v>
                </pt>
                <pt idx="3">
                  <v>3.3</v>
                </pt>
              </numCache>
            </numRef>
          </val>
        </ser>
        <gapWidth val="150"/>
        <overlap val="0"/>
        <axId val="85019626"/>
        <axId val="43560306"/>
      </barChart>
      <catAx>
        <axId val="85019626"/>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3560306"/>
        <crosses val="autoZero"/>
        <auto val="1"/>
        <lblAlgn val="ctr"/>
        <lblOffset val="100"/>
        <noMultiLvlLbl val="0"/>
      </catAx>
      <valAx>
        <axId val="43560306"/>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5019626"/>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Salesforce support headcount — 2025</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'C01'!B13</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'C01'!$A$14:$A$17</f>
              <strCache>
                <ptCount val="4"/>
                <pt idx="0">
                  <v>Period</v>
                </pt>
                <pt idx="1">
                  <v>Jan 2025</v>
                </pt>
                <pt idx="2">
                  <v>Mid 2025</v>
                </pt>
                <pt idx="3">
                  <v>Sep 2025</v>
                </pt>
              </strCache>
            </strRef>
          </cat>
          <val>
            <numRef>
              <f>'C01'!$B$14:$B$17</f>
              <numCache>
                <formatCode>General</formatCode>
                <ptCount val="4"/>
                <pt idx="1">
                  <v>9000</v>
                </pt>
                <pt idx="2">
                  <v>7000</v>
                </pt>
                <pt idx="3">
                  <v>5000</v>
                </pt>
              </numCache>
            </numRef>
          </val>
        </ser>
        <gapWidth val="150"/>
        <overlap val="0"/>
        <axId val="87480840"/>
        <axId val="77193570"/>
      </barChart>
      <catAx>
        <axId val="87480840"/>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77193570"/>
        <crosses val="autoZero"/>
        <auto val="1"/>
        <lblAlgn val="ctr"/>
        <lblOffset val="100"/>
        <noMultiLvlLbl val="0"/>
      </catAx>
      <valAx>
        <axId val="77193570"/>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7480840"/>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Klarna — AI deployment metrics + reversal signal</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'C02'!B12</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'C02'!$A$13:$A$16</f>
              <strCache>
                <ptCount val="4"/>
                <pt idx="0">
                  <v>Metric</v>
                </pt>
                <pt idx="1">
                  <v>Roles replaced (initially)</v>
                </pt>
                <pt idx="2">
                  <v>Monthly chats handled (000s)</v>
                </pt>
                <pt idx="3">
                  <v>% of customer chats automated</v>
                </pt>
              </strCache>
            </strRef>
          </cat>
          <val>
            <numRef>
              <f>'C02'!$B$13:$B$16</f>
              <numCache>
                <formatCode>General</formatCode>
                <ptCount val="4"/>
                <pt idx="1">
                  <v>700</v>
                </pt>
                <pt idx="2">
                  <v>2300</v>
                </pt>
                <pt idx="3">
                  <v>75</v>
                </pt>
              </numCache>
            </numRef>
          </val>
        </ser>
        <gapWidth val="150"/>
        <overlap val="0"/>
        <axId val="36181093"/>
        <axId val="16925417"/>
      </barChart>
      <catAx>
        <axId val="36181093"/>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6925417"/>
        <crosses val="autoZero"/>
        <auto val="1"/>
        <lblAlgn val="ctr"/>
        <lblOffset val="100"/>
        <noMultiLvlLbl val="0"/>
      </catAx>
      <valAx>
        <axId val="16925417"/>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36181093"/>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IBM — AskHR automation vs total headcount direction</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'C03'!B12</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'C03'!$A$13:$A$16</f>
              <strCache>
                <ptCount val="4"/>
                <pt idx="0">
                  <v>Metric</v>
                </pt>
                <pt idx="1">
                  <v>Tasks automated %</v>
                </pt>
                <pt idx="2">
                  <v>Roles directly displaced (00s)</v>
                </pt>
                <pt idx="3">
                  <v>Total headcount direction</v>
                </pt>
              </strCache>
            </strRef>
          </cat>
          <val>
            <numRef>
              <f>'C03'!$B$13:$B$16</f>
              <numCache>
                <formatCode>General</formatCode>
                <ptCount val="4"/>
                <pt idx="1">
                  <v>94</v>
                </pt>
                <pt idx="2">
                  <v>2</v>
                </pt>
                <pt idx="3">
                  <v>100</v>
                </pt>
              </numCache>
            </numRef>
          </val>
        </ser>
        <gapWidth val="150"/>
        <overlap val="0"/>
        <axId val="41697307"/>
        <axId val="8902075"/>
      </barChart>
      <catAx>
        <axId val="41697307"/>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902075"/>
        <crosses val="autoZero"/>
        <auto val="1"/>
        <lblAlgn val="ctr"/>
        <lblOffset val="100"/>
        <noMultiLvlLbl val="0"/>
      </catAx>
      <valAx>
        <axId val="8902075"/>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169730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Hallucination rate — by task class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'C05'!B14</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'C05'!$A$15:$A$17</f>
              <strCache>
                <ptCount val="3"/>
                <pt idx="0">
                  <v>Task class</v>
                </pt>
                <pt idx="1">
                  <v>Summarisation (top models)</v>
                </pt>
                <pt idx="2">
                  <v>Long-form generation</v>
                </pt>
              </strCache>
            </strRef>
          </cat>
          <val>
            <numRef>
              <f>'C05'!$B$15:$B$17</f>
              <numCache>
                <formatCode>General</formatCode>
                <ptCount val="3"/>
                <pt idx="1">
                  <v>1</v>
                </pt>
                <pt idx="2">
                  <v>28</v>
                </pt>
              </numCache>
            </numRef>
          </val>
        </ser>
        <gapWidth val="150"/>
        <overlap val="0"/>
        <axId val="9538839"/>
        <axId val="24674476"/>
      </barChart>
      <catAx>
        <axId val="9538839"/>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4674476"/>
        <crosses val="autoZero"/>
        <auto val="1"/>
        <lblAlgn val="ctr"/>
        <lblOffset val="100"/>
        <noMultiLvlLbl val="0"/>
      </catAx>
      <valAx>
        <axId val="24674476"/>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953883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Vendor capture share of created value (%)</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'V01'!B12</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'V01'!$A$13:$A$18</f>
              <strCache>
                <ptCount val="6"/>
                <pt idx="0">
                  <v>Pricing model</v>
                </pt>
                <pt idx="1">
                  <v>Per-seat SaaS</v>
                </pt>
                <pt idx="2">
                  <v>Usage / token</v>
                </pt>
                <pt idx="3">
                  <v>Credit / effort</v>
                </pt>
                <pt idx="4">
                  <v>Outcome-based</v>
                </pt>
                <pt idx="5">
                  <v>Gainsharing</v>
                </pt>
              </strCache>
            </strRef>
          </cat>
          <val>
            <numRef>
              <f>'V01'!$B$13:$B$18</f>
              <numCache>
                <formatCode>General</formatCode>
                <ptCount val="6"/>
                <pt idx="1">
                  <v>7.5</v>
                </pt>
                <pt idx="2">
                  <v>17.5</v>
                </pt>
                <pt idx="3">
                  <v>27.5</v>
                </pt>
                <pt idx="4">
                  <v>40</v>
                </pt>
                <pt idx="5">
                  <v>30</v>
                </pt>
              </numCache>
            </numRef>
          </val>
        </ser>
        <gapWidth val="150"/>
        <overlap val="0"/>
        <axId val="86782109"/>
        <axId val="29985904"/>
      </barChart>
      <catAx>
        <axId val="86782109"/>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9985904"/>
        <crosses val="autoZero"/>
        <auto val="1"/>
        <lblAlgn val="ctr"/>
        <lblOffset val="100"/>
        <noMultiLvlLbl val="0"/>
      </catAx>
      <valAx>
        <axId val="29985904"/>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678210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Uplift bands — only the top two support 10x pricing</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'V02'!B14</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outEnd"/>
            <showLegendKey val="0"/>
            <showVal val="0"/>
            <showCatName val="0"/>
            <showSerName val="0"/>
            <showPercent val="0"/>
            <showLeaderLines val="1"/>
          </dLbls>
          <cat>
            <strRef>
              <f>'V02'!$A$15:$A$19</f>
              <strCache>
                <ptCount val="5"/>
                <pt idx="0">
                  <v>Uplift band</v>
                </pt>
                <pt idx="1">
                  <v>Marginal (5–15%)</v>
                </pt>
                <pt idx="2">
                  <v>Material (20–40%)</v>
                </pt>
                <pt idx="3">
                  <v>Substantial (50–100%)</v>
                </pt>
                <pt idx="4">
                  <v>Transformational (200%+, lighthouses)</v>
                </pt>
              </strCache>
            </strRef>
          </cat>
          <val>
            <numRef>
              <f>'V02'!$B$15:$B$19</f>
              <numCache>
                <formatCode>General</formatCode>
                <ptCount val="5"/>
                <pt idx="1">
                  <v>15</v>
                </pt>
                <pt idx="2">
                  <v>35</v>
                </pt>
                <pt idx="3">
                  <v>80</v>
                </pt>
                <pt idx="4">
                  <v>250</v>
                </pt>
              </numCache>
            </numRef>
          </val>
        </ser>
        <gapWidth val="150"/>
        <overlap val="0"/>
        <axId val="37444328"/>
        <axId val="23263280"/>
      </barChart>
      <catAx>
        <axId val="37444328"/>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23263280"/>
        <crosses val="autoZero"/>
        <auto val="1"/>
        <lblAlgn val="ctr"/>
        <lblOffset val="100"/>
        <noMultiLvlLbl val="0"/>
      </catAx>
      <valAx>
        <axId val="23263280"/>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3744432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AI vendor pricing model mix — 2026</a:t>
            </a:r>
          </a:p>
        </rich>
      </tx>
      <overlay val="0"/>
      <spPr>
        <a:noFill xmlns:a="http://schemas.openxmlformats.org/drawingml/2006/main"/>
        <a:ln xmlns:a="http://schemas.openxmlformats.org/drawingml/2006/main" w="0">
          <a:noFill/>
          <a:prstDash val="solid"/>
        </a:ln>
      </spPr>
    </title>
    <plotArea>
      <pieChart>
        <varyColors val="1"/>
        <ser>
          <idx val="0"/>
          <order val="0"/>
          <tx>
            <strRef>
              <f>'V05'!B16</f>
              <strCache>
                <ptCount val="1"/>
                <pt idx="0">
                  <v>None</v>
                </pt>
              </strCache>
            </strRef>
          </tx>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12600">
                <a:noFill/>
                <a:prstDash val="solid"/>
              </a:ln>
            </spPr>
          </dPt>
          <dPt>
            <idx val="1"/>
            <spPr>
              <a:solidFill xmlns:a="http://schemas.openxmlformats.org/drawingml/2006/main">
                <a:srgbClr val="C0504D"/>
              </a:solidFill>
              <a:ln xmlns:a="http://schemas.openxmlformats.org/drawingml/2006/main" w="12600">
                <a:noFill/>
                <a:prstDash val="solid"/>
              </a:ln>
            </spPr>
          </dPt>
          <dPt>
            <idx val="2"/>
            <spPr>
              <a:solidFill xmlns:a="http://schemas.openxmlformats.org/drawingml/2006/main">
                <a:srgbClr val="9BBB59"/>
              </a:solidFill>
              <a:ln xmlns:a="http://schemas.openxmlformats.org/drawingml/2006/main" w="12600">
                <a:noFill/>
                <a:prstDash val="solid"/>
              </a:ln>
            </spPr>
          </dPt>
          <dPt>
            <idx val="3"/>
            <spPr>
              <a:solidFill xmlns:a="http://schemas.openxmlformats.org/drawingml/2006/main">
                <a:srgbClr val="8064A2"/>
              </a:solidFill>
              <a:ln xmlns:a="http://schemas.openxmlformats.org/drawingml/2006/main" w="12600">
                <a:noFill/>
                <a:prstDash val="solid"/>
              </a:ln>
            </spPr>
          </dPt>
          <dPt>
            <idx val="4"/>
            <spPr>
              <a:solidFill xmlns:a="http://schemas.openxmlformats.org/drawingml/2006/main">
                <a:srgbClr val="4BACC6"/>
              </a:solidFill>
              <a:ln xmlns:a="http://schemas.openxmlformats.org/drawingml/2006/main" w="1260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2"/>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3"/>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4"/>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showLeaderLines val="1"/>
          </dLbls>
          <cat>
            <strRef>
              <f>'V05'!$A$17:$A$21</f>
              <strCache>
                <ptCount val="5"/>
                <pt idx="0">
                  <v>Model</v>
                </pt>
                <pt idx="1">
                  <v>Per-seat (declining)</v>
                </pt>
                <pt idx="2">
                  <v>Usage / token</v>
                </pt>
                <pt idx="3">
                  <v>Hybrid (base + usage)</v>
                </pt>
                <pt idx="4">
                  <v>Outcome-based</v>
                </pt>
              </strCache>
            </strRef>
          </cat>
          <val>
            <numRef>
              <f>'V05'!$B$17:$B$21</f>
              <numCache>
                <formatCode>General</formatCode>
                <ptCount val="5"/>
                <pt idx="1">
                  <v>30</v>
                </pt>
                <pt idx="2">
                  <v>25</v>
                </pt>
                <pt idx="3">
                  <v>31</v>
                </pt>
                <pt idx="4">
                  <v>10</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AI value decomposition — cost vs revenue (% of V_index)</a:t>
            </a:r>
          </a:p>
        </rich>
      </tx>
      <overlay val="0"/>
      <spPr>
        <a:noFill xmlns:a="http://schemas.openxmlformats.org/drawingml/2006/main"/>
        <a:ln xmlns:a="http://schemas.openxmlformats.org/drawingml/2006/main" w="0">
          <a:noFill/>
          <a:prstDash val="solid"/>
        </a:ln>
      </spPr>
    </title>
    <plotArea>
      <barChart>
        <barDir val="bar"/>
        <grouping val="stacked"/>
        <varyColors val="0"/>
        <ser>
          <idx val="0"/>
          <order val="0"/>
          <tx>
            <strRef>
              <f>'VI01'!B20</f>
              <strCache>
                <ptCount val="1"/>
                <pt idx="0">
                  <v>None</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ctr"/>
            <showLegendKey val="0"/>
            <showVal val="0"/>
            <showCatName val="0"/>
            <showSerName val="0"/>
            <showPercent val="0"/>
            <showLeaderLines val="1"/>
          </dLbls>
          <cat>
            <strRef>
              <f>'VI01'!$A$21:$A$32</f>
              <strCache>
                <ptCount val="12"/>
                <pt idx="0">
                  <v>Sector</v>
                </pt>
                <pt idx="1">
                  <v>Software dev</v>
                </pt>
                <pt idx="2">
                  <v>Customer service</v>
                </pt>
                <pt idx="3">
                  <v>Writing/marketing</v>
                </pt>
                <pt idx="4">
                  <v>Sales</v>
                </pt>
                <pt idx="5">
                  <v>Consulting</v>
                </pt>
                <pt idx="6">
                  <v>Legal</v>
                </pt>
                <pt idx="7">
                  <v>Finance back-office</v>
                </pt>
                <pt idx="8">
                  <v>Healthcare</v>
                </pt>
                <pt idx="9">
                  <v>Manufacturing</v>
                </pt>
                <pt idx="10">
                  <v>AEC</v>
                </pt>
                <pt idx="11">
                  <v>Education</v>
                </pt>
              </strCache>
            </strRef>
          </cat>
          <val>
            <numRef>
              <f>'VI01'!$B$21:$B$32</f>
              <numCache>
                <formatCode>General</formatCode>
                <ptCount val="12"/>
                <pt idx="1">
                  <v>95</v>
                </pt>
                <pt idx="2">
                  <v>90</v>
                </pt>
                <pt idx="3">
                  <v>80</v>
                </pt>
                <pt idx="4">
                  <v>30</v>
                </pt>
                <pt idx="5">
                  <v>85</v>
                </pt>
                <pt idx="6">
                  <v>100</v>
                </pt>
                <pt idx="7">
                  <v>100</v>
                </pt>
                <pt idx="8">
                  <v>90</v>
                </pt>
                <pt idx="9">
                  <v>70</v>
                </pt>
                <pt idx="10">
                  <v>60</v>
                </pt>
                <pt idx="11">
                  <v>100</v>
                </pt>
              </numCache>
            </numRef>
          </val>
        </ser>
        <ser>
          <idx val="1"/>
          <order val="1"/>
          <tx>
            <strRef>
              <f>'VI01'!C20</f>
              <strCache>
                <ptCount val="1"/>
                <pt idx="0">
                  <v>None</v>
                </pt>
              </strCache>
            </strRef>
          </tx>
          <spPr>
            <a:solidFill xmlns:a="http://schemas.openxmlformats.org/drawingml/2006/main">
              <a:srgbClr val="C0504D"/>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None</a:t>
                </a:r>
              </a:p>
            </txPr>
            <dLblPos val="ctr"/>
            <showLegendKey val="0"/>
            <showVal val="0"/>
            <showCatName val="0"/>
            <showSerName val="0"/>
            <showPercent val="0"/>
            <showLeaderLines val="1"/>
          </dLbls>
          <cat>
            <strRef>
              <f>'VI01'!$A$21:$A$32</f>
              <strCache>
                <ptCount val="12"/>
                <pt idx="0">
                  <v>Sector</v>
                </pt>
                <pt idx="1">
                  <v>Software dev</v>
                </pt>
                <pt idx="2">
                  <v>Customer service</v>
                </pt>
                <pt idx="3">
                  <v>Writing/marketing</v>
                </pt>
                <pt idx="4">
                  <v>Sales</v>
                </pt>
                <pt idx="5">
                  <v>Consulting</v>
                </pt>
                <pt idx="6">
                  <v>Legal</v>
                </pt>
                <pt idx="7">
                  <v>Finance back-office</v>
                </pt>
                <pt idx="8">
                  <v>Healthcare</v>
                </pt>
                <pt idx="9">
                  <v>Manufacturing</v>
                </pt>
                <pt idx="10">
                  <v>AEC</v>
                </pt>
                <pt idx="11">
                  <v>Education</v>
                </pt>
              </strCache>
            </strRef>
          </cat>
          <val>
            <numRef>
              <f>'VI01'!$C$21:$C$32</f>
              <numCache>
                <formatCode>General</formatCode>
                <ptCount val="12"/>
                <pt idx="1">
                  <v>5</v>
                </pt>
                <pt idx="2">
                  <v>10</v>
                </pt>
                <pt idx="3">
                  <v>20</v>
                </pt>
                <pt idx="4">
                  <v>70</v>
                </pt>
                <pt idx="5">
                  <v>15</v>
                </pt>
                <pt idx="6">
                  <v>0</v>
                </pt>
                <pt idx="7">
                  <v>0</v>
                </pt>
                <pt idx="8">
                  <v>10</v>
                </pt>
                <pt idx="9">
                  <v>30</v>
                </pt>
                <pt idx="10">
                  <v>40</v>
                </pt>
                <pt idx="11">
                  <v>0</v>
                </pt>
              </numCache>
            </numRef>
          </val>
        </ser>
        <gapWidth val="150"/>
        <overlap val="100"/>
        <axId val="79761977"/>
        <axId val="42791973"/>
      </barChart>
      <catAx>
        <axId val="79761977"/>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42791973"/>
        <crosses val="autoZero"/>
        <auto val="1"/>
        <lblAlgn val="ctr"/>
        <lblOffset val="100"/>
        <noMultiLvlLbl val="0"/>
      </catAx>
      <valAx>
        <axId val="42791973"/>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7976197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AI vendor pricing-page framing — share of sample</a:t>
            </a:r>
          </a:p>
        </rich>
      </tx>
      <overlay val="0"/>
      <spPr>
        <a:noFill xmlns:a="http://schemas.openxmlformats.org/drawingml/2006/main"/>
        <a:ln xmlns:a="http://schemas.openxmlformats.org/drawingml/2006/main" w="0">
          <a:noFill/>
          <a:prstDash val="solid"/>
        </a:ln>
      </spPr>
    </title>
    <plotArea>
      <pieChart>
        <varyColors val="1"/>
        <ser>
          <idx val="0"/>
          <order val="0"/>
          <tx>
            <strRef>
              <f>'VI03'!B16</f>
              <strCache>
                <ptCount val="1"/>
                <pt idx="0">
                  <v>None</v>
                </pt>
              </strCache>
            </strRef>
          </tx>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12600">
                <a:noFill/>
                <a:prstDash val="solid"/>
              </a:ln>
            </spPr>
          </dPt>
          <dPt>
            <idx val="1"/>
            <spPr>
              <a:solidFill xmlns:a="http://schemas.openxmlformats.org/drawingml/2006/main">
                <a:srgbClr val="C0504D"/>
              </a:solidFill>
              <a:ln xmlns:a="http://schemas.openxmlformats.org/drawingml/2006/main" w="12600">
                <a:noFill/>
                <a:prstDash val="solid"/>
              </a:ln>
            </spPr>
          </dPt>
          <dPt>
            <idx val="2"/>
            <spPr>
              <a:solidFill xmlns:a="http://schemas.openxmlformats.org/drawingml/2006/main">
                <a:srgbClr val="9BBB59"/>
              </a:solidFill>
              <a:ln xmlns:a="http://schemas.openxmlformats.org/drawingml/2006/main" w="12600">
                <a:noFill/>
                <a:prstDash val="solid"/>
              </a:ln>
            </spPr>
          </dPt>
          <dPt>
            <idx val="3"/>
            <spPr>
              <a:solidFill xmlns:a="http://schemas.openxmlformats.org/drawingml/2006/main">
                <a:srgbClr val="8064A2"/>
              </a:solidFill>
              <a:ln xmlns:a="http://schemas.openxmlformats.org/drawingml/2006/main" w="1260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2"/>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dLbl>
              <idx val="3"/>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1"/>
            <showVal val="1"/>
            <showCatName val="1"/>
            <showSerName val="1"/>
            <showPercent val="1"/>
            <showLeaderLines val="1"/>
          </dLbls>
          <cat>
            <strRef>
              <f>'VI03'!$A$17:$A$20</f>
              <strCache>
                <ptCount val="4"/>
                <pt idx="0">
                  <v>Framing type</v>
                </pt>
                <pt idx="1">
                  <v>COST-side framing</v>
                </pt>
                <pt idx="2">
                  <v>OUTCOME framing</v>
                </pt>
                <pt idx="3">
                  <v>REVENUE-side framing</v>
                </pt>
              </strCache>
            </strRef>
          </cat>
          <val>
            <numRef>
              <f>'VI03'!$B$17:$B$20</f>
              <numCache>
                <formatCode>General</formatCode>
                <ptCount val="4"/>
                <pt idx="1">
                  <v>60</v>
                </pt>
                <pt idx="2">
                  <v>15</v>
                </pt>
                <pt idx="3">
                  <v>15</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_rels/drawing7.xml.rels><Relationships xmlns="http://schemas.openxmlformats.org/package/2006/relationships"><Relationship Type="http://schemas.openxmlformats.org/officeDocument/2006/relationships/chart" Target="/xl/charts/chart7.xml" Id="rId1"/></Relationships>
</file>

<file path=xl/drawings/_rels/drawing8.xml.rels><Relationships xmlns="http://schemas.openxmlformats.org/package/2006/relationships"><Relationship Type="http://schemas.openxmlformats.org/officeDocument/2006/relationships/chart" Target="/xl/charts/chart8.xml" Id="rId1"/></Relationships>
</file>

<file path=xl/drawings/_rels/drawing9.xml.rels><Relationships xmlns="http://schemas.openxmlformats.org/package/2006/relationships"><Relationship Type="http://schemas.openxmlformats.org/officeDocument/2006/relationships/chart" Target="/xl/charts/chart9.xml" Id="rId1"/></Relationships>
</file>

<file path=xl/drawings/_rels/drawing10.xml.rels><Relationships xmlns="http://schemas.openxmlformats.org/package/2006/relationships"><Relationship Type="http://schemas.openxmlformats.org/officeDocument/2006/relationships/chart" Target="/xl/charts/chart10.xml" Id="rId1"/></Relationships>
</file>

<file path=xl/drawings/_rels/drawing11.xml.rels><Relationships xmlns="http://schemas.openxmlformats.org/package/2006/relationships"><Relationship Type="http://schemas.openxmlformats.org/officeDocument/2006/relationships/chart" Target="/xl/charts/chart11.xml" Id="rId1"/></Relationships>
</file>

<file path=xl/drawings/_rels/drawing12.xml.rels><Relationships xmlns="http://schemas.openxmlformats.org/package/2006/relationships"><Relationship Type="http://schemas.openxmlformats.org/officeDocument/2006/relationships/chart" Target="/xl/charts/chart12.xml" Id="rId1"/></Relationships>
</file>

<file path=xl/drawings/_rels/drawing13.xml.rels><Relationships xmlns="http://schemas.openxmlformats.org/package/2006/relationships"><Relationship Type="http://schemas.openxmlformats.org/officeDocument/2006/relationships/chart" Target="/xl/charts/chart13.xml" Id="rId1"/></Relationships>
</file>

<file path=xl/drawings/_rels/drawing14.xml.rels><Relationships xmlns="http://schemas.openxmlformats.org/package/2006/relationships"><Relationship Type="http://schemas.openxmlformats.org/officeDocument/2006/relationships/chart" Target="/xl/charts/chart14.xml" Id="rId1"/></Relationships>
</file>

<file path=xl/drawings/_rels/drawing15.xml.rels><Relationships xmlns="http://schemas.openxmlformats.org/package/2006/relationships"><Relationship Type="http://schemas.openxmlformats.org/officeDocument/2006/relationships/chart" Target="/xl/charts/chart15.xml" Id="rId1"/></Relationships>
</file>

<file path=xl/drawings/_rels/drawing16.xml.rels><Relationships xmlns="http://schemas.openxmlformats.org/package/2006/relationships"><Relationship Type="http://schemas.openxmlformats.org/officeDocument/2006/relationships/chart" Target="/xl/charts/chart16.xml" Id="rId1"/></Relationships>
</file>

<file path=xl/drawings/_rels/drawing17.xml.rels><Relationships xmlns="http://schemas.openxmlformats.org/package/2006/relationships"><Relationship Type="http://schemas.openxmlformats.org/officeDocument/2006/relationships/chart" Target="/xl/charts/chart17.xml" Id="rId1"/></Relationships>
</file>

<file path=xl/drawings/_rels/drawing18.xml.rels><Relationships xmlns="http://schemas.openxmlformats.org/package/2006/relationships"><Relationship Type="http://schemas.openxmlformats.org/officeDocument/2006/relationships/chart" Target="/xl/charts/chart18.xml" Id="rId1"/></Relationships>
</file>

<file path=xl/drawings/_rels/drawing19.xml.rels><Relationships xmlns="http://schemas.openxmlformats.org/package/2006/relationships"><Relationship Type="http://schemas.openxmlformats.org/officeDocument/2006/relationships/chart" Target="/xl/charts/chart19.xml" Id="rId1"/></Relationships>
</file>

<file path=xl/drawings/_rels/drawing20.xml.rels><Relationships xmlns="http://schemas.openxmlformats.org/package/2006/relationships"><Relationship Type="http://schemas.openxmlformats.org/officeDocument/2006/relationships/chart" Target="/xl/charts/chart20.xml" Id="rId1"/></Relationships>
</file>

<file path=xl/drawings/_rels/drawing21.xml.rels><Relationships xmlns="http://schemas.openxmlformats.org/package/2006/relationships"><Relationship Type="http://schemas.openxmlformats.org/officeDocument/2006/relationships/chart" Target="/xl/charts/chart21.xml" Id="rId1"/></Relationships>
</file>

<file path=xl/drawings/_rels/drawing22.xml.rels><Relationships xmlns="http://schemas.openxmlformats.org/package/2006/relationships"><Relationship Type="http://schemas.openxmlformats.org/officeDocument/2006/relationships/chart" Target="/xl/charts/chart22.xml" Id="rId1"/></Relationships>
</file>

<file path=xl/drawings/_rels/drawing23.xml.rels><Relationships xmlns="http://schemas.openxmlformats.org/package/2006/relationships"><Relationship Type="http://schemas.openxmlformats.org/officeDocument/2006/relationships/chart" Target="/xl/charts/chart23.xml" Id="rId1"/></Relationships>
</file>

<file path=xl/drawings/_rels/drawing24.xml.rels><Relationships xmlns="http://schemas.openxmlformats.org/package/2006/relationships"><Relationship Type="http://schemas.openxmlformats.org/officeDocument/2006/relationships/chart" Target="/xl/charts/chart24.xml" Id="rId1"/></Relationships>
</file>

<file path=xl/drawings/_rels/drawing25.xml.rels><Relationships xmlns="http://schemas.openxmlformats.org/package/2006/relationships"><Relationship Type="http://schemas.openxmlformats.org/officeDocument/2006/relationships/chart" Target="/xl/charts/chart25.xml" Id="rId1"/></Relationships>
</file>

<file path=xl/drawings/_rels/drawing26.xml.rels><Relationships xmlns="http://schemas.openxmlformats.org/package/2006/relationships"><Relationship Type="http://schemas.openxmlformats.org/officeDocument/2006/relationships/chart" Target="/xl/charts/chart26.xml" Id="rId1"/></Relationships>
</file>

<file path=xl/drawings/_rels/drawing27.xml.rels><Relationships xmlns="http://schemas.openxmlformats.org/package/2006/relationships"><Relationship Type="http://schemas.openxmlformats.org/officeDocument/2006/relationships/chart" Target="/xl/charts/chart27.xml" Id="rId1"/></Relationships>
</file>

<file path=xl/drawings/_rels/drawing28.xml.rels><Relationships xmlns="http://schemas.openxmlformats.org/package/2006/relationships"><Relationship Type="http://schemas.openxmlformats.org/officeDocument/2006/relationships/chart" Target="/xl/charts/chart28.xml" Id="rId1"/></Relationships>
</file>

<file path=xl/drawings/_rels/drawing29.xml.rels><Relationships xmlns="http://schemas.openxmlformats.org/package/2006/relationships"><Relationship Type="http://schemas.openxmlformats.org/officeDocument/2006/relationships/chart" Target="/xl/charts/chart29.xml" Id="rId1"/></Relationships>
</file>

<file path=xl/drawings/_rels/drawing30.xml.rels><Relationships xmlns="http://schemas.openxmlformats.org/package/2006/relationships"><Relationship Type="http://schemas.openxmlformats.org/officeDocument/2006/relationships/chart" Target="/xl/charts/chart30.xml" Id="rId1"/></Relationships>
</file>

<file path=xl/drawings/_rels/drawing31.xml.rels><Relationships xmlns="http://schemas.openxmlformats.org/package/2006/relationships"><Relationship Type="http://schemas.openxmlformats.org/officeDocument/2006/relationships/chart" Target="/xl/charts/chart31.xml" Id="rId1"/></Relationships>
</file>

<file path=xl/drawings/_rels/drawing32.xml.rels><Relationships xmlns="http://schemas.openxmlformats.org/package/2006/relationships"><Relationship Type="http://schemas.openxmlformats.org/officeDocument/2006/relationships/chart" Target="/xl/charts/chart32.xml" Id="rId1"/></Relationships>
</file>

<file path=xl/drawings/_rels/drawing33.xml.rels><Relationships xmlns="http://schemas.openxmlformats.org/package/2006/relationships"><Relationship Type="http://schemas.openxmlformats.org/officeDocument/2006/relationships/chart" Target="/xl/charts/chart33.xml" Id="rId1"/></Relationships>
</file>

<file path=xl/drawings/_rels/drawing34.xml.rels><Relationships xmlns="http://schemas.openxmlformats.org/package/2006/relationships"><Relationship Type="http://schemas.openxmlformats.org/officeDocument/2006/relationships/chart" Target="/xl/charts/chart34.xml" Id="rId1"/></Relationships>
</file>

<file path=xl/drawings/_rels/drawing35.xml.rels><Relationships xmlns="http://schemas.openxmlformats.org/package/2006/relationships"><Relationship Type="http://schemas.openxmlformats.org/officeDocument/2006/relationships/chart" Target="/xl/charts/chart35.xml" Id="rId1"/></Relationships>
</file>

<file path=xl/drawings/_rels/drawing36.xml.rels><Relationships xmlns="http://schemas.openxmlformats.org/package/2006/relationships"><Relationship Type="http://schemas.openxmlformats.org/officeDocument/2006/relationships/chart" Target="/xl/charts/chart36.xml" Id="rId1"/></Relationships>
</file>

<file path=xl/drawings/_rels/drawing37.xml.rels><Relationships xmlns="http://schemas.openxmlformats.org/package/2006/relationships"><Relationship Type="http://schemas.openxmlformats.org/officeDocument/2006/relationships/chart" Target="/xl/charts/chart37.xml" Id="rId1"/></Relationships>
</file>

<file path=xl/drawings/_rels/drawing38.xml.rels><Relationships xmlns="http://schemas.openxmlformats.org/package/2006/relationships"><Relationship Type="http://schemas.openxmlformats.org/officeDocument/2006/relationships/chart" Target="/xl/charts/chart38.xml" Id="rId1"/></Relationships>
</file>

<file path=xl/drawings/_rels/drawing39.xml.rels><Relationships xmlns="http://schemas.openxmlformats.org/package/2006/relationships"><Relationship Type="http://schemas.openxmlformats.org/officeDocument/2006/relationships/chart" Target="/xl/charts/chart39.xml" Id="rId1"/></Relationships>
</file>

<file path=xl/drawings/_rels/drawing40.xml.rels><Relationships xmlns="http://schemas.openxmlformats.org/package/2006/relationships"><Relationship Type="http://schemas.openxmlformats.org/officeDocument/2006/relationships/chart" Target="/xl/charts/chart40.xml" Id="rId1"/></Relationships>
</file>

<file path=xl/drawings/_rels/drawing41.xml.rels><Relationships xmlns="http://schemas.openxmlformats.org/package/2006/relationships"><Relationship Type="http://schemas.openxmlformats.org/officeDocument/2006/relationships/chart" Target="/xl/charts/chart41.xml" Id="rId1"/></Relationships>
</file>

<file path=xl/drawings/_rels/drawing42.xml.rels><Relationships xmlns="http://schemas.openxmlformats.org/package/2006/relationships"><Relationship Type="http://schemas.openxmlformats.org/officeDocument/2006/relationships/chart" Target="/xl/charts/chart42.xml" Id="rId1"/></Relationships>
</file>

<file path=xl/drawings/_rels/drawing43.xml.rels><Relationships xmlns="http://schemas.openxmlformats.org/package/2006/relationships"><Relationship Type="http://schemas.openxmlformats.org/officeDocument/2006/relationships/chart" Target="/xl/charts/chart43.xml" Id="rId1"/></Relationships>
</file>

<file path=xl/drawings/_rels/drawing44.xml.rels><Relationships xmlns="http://schemas.openxmlformats.org/package/2006/relationships"><Relationship Type="http://schemas.openxmlformats.org/officeDocument/2006/relationships/chart" Target="/xl/charts/chart44.xml" Id="rId1"/></Relationships>
</file>

<file path=xl/drawings/_rels/drawing45.xml.rels><Relationships xmlns="http://schemas.openxmlformats.org/package/2006/relationships"><Relationship Type="http://schemas.openxmlformats.org/officeDocument/2006/relationships/chart" Target="/xl/charts/chart45.xml" Id="rId1"/></Relationships>
</file>

<file path=xl/drawings/drawing1.xml><?xml version="1.0" encoding="utf-8"?>
<wsDr xmlns="http://schemas.openxmlformats.org/drawingml/2006/spreadsheetDrawing">
  <oneCellAnchor>
    <from>
      <col>11</col>
      <colOff>0</colOff>
      <row>3</row>
      <rowOff>0</rowOff>
    </from>
    <ext cx="648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9</col>
      <colOff>0</colOff>
      <row>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twoCellAnchor editAs="oneCell">
    <from>
      <col>11</col>
      <colOff>0</colOff>
      <row>3</row>
      <rowOff>0</rowOff>
    </from>
    <to>
      <col>23</col>
      <colOff>581400</colOff>
      <row>24</row>
      <rowOff>15840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editAs="oneCell">
    <from>
      <col>9</col>
      <colOff>0</colOff>
      <row>3</row>
      <rowOff>0</rowOff>
    </from>
    <to>
      <col>20</col>
      <colOff>472680</colOff>
      <row>8</row>
      <rowOff>245160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editAs="oneCell">
    <from>
      <col>9</col>
      <colOff>0</colOff>
      <row>3</row>
      <rowOff>0</rowOff>
    </from>
    <to>
      <col>19</col>
      <colOff>364320</colOff>
      <row>12</row>
      <rowOff>162000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editAs="oneCell">
    <from>
      <col>9</col>
      <colOff>0</colOff>
      <row>3</row>
      <rowOff>0</rowOff>
    </from>
    <to>
      <col>19</col>
      <colOff>363960</colOff>
      <row>16</row>
      <rowOff>44640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7.xml><?xml version="1.0" encoding="utf-8"?>
<wsDr xmlns="http://schemas.openxmlformats.org/drawingml/2006/spreadsheetDrawing">
  <twoCellAnchor editAs="oneCell">
    <from>
      <col>9</col>
      <colOff>0</colOff>
      <row>3</row>
      <rowOff>0</rowOff>
    </from>
    <to>
      <col>19</col>
      <colOff>363960</colOff>
      <row>15</row>
      <rowOff>106200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8.xml><?xml version="1.0" encoding="utf-8"?>
<wsDr xmlns="http://schemas.openxmlformats.org/drawingml/2006/spreadsheetDrawing">
  <twoCellAnchor editAs="oneCell">
    <from>
      <col>9</col>
      <colOff>0</colOff>
      <row>3</row>
      <rowOff>0</rowOff>
    </from>
    <to>
      <col>19</col>
      <colOff>363960</colOff>
      <row>14</row>
      <rowOff>5760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9.xml><?xml version="1.0" encoding="utf-8"?>
<wsDr xmlns="http://schemas.openxmlformats.org/drawingml/2006/spreadsheetDrawing">
  <twoCellAnchor editAs="oneCell">
    <from>
      <col>9</col>
      <colOff>0</colOff>
      <row>3</row>
      <rowOff>0</rowOff>
    </from>
    <to>
      <col>17</col>
      <colOff>147240</colOff>
      <row>15</row>
      <rowOff>242280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10.xml><?xml version="1.0" encoding="utf-8"?>
<wsDr xmlns="http://schemas.openxmlformats.org/drawingml/2006/spreadsheetDrawing">
  <twoCellAnchor editAs="oneCell">
    <from>
      <col>9</col>
      <colOff>0</colOff>
      <row>3</row>
      <rowOff>0</rowOff>
    </from>
    <to>
      <col>19</col>
      <colOff>363960</colOff>
      <row>18</row>
      <rowOff>67320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11.xml><?xml version="1.0" encoding="utf-8"?>
<wsDr xmlns="http://schemas.openxmlformats.org/drawingml/2006/spreadsheetDrawing">
  <twoCellAnchor editAs="oneCell">
    <from>
      <col>9</col>
      <colOff>0</colOff>
      <row>3</row>
      <rowOff>0</rowOff>
    </from>
    <to>
      <col>19</col>
      <colOff>363960</colOff>
      <row>18</row>
      <rowOff>150120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12.xml><?xml version="1.0" encoding="utf-8"?>
<wsDr xmlns="http://schemas.openxmlformats.org/drawingml/2006/spreadsheetDrawing">
  <twoCellAnchor editAs="oneCell">
    <from>
      <col>9</col>
      <colOff>0</colOff>
      <row>3</row>
      <rowOff>0</rowOff>
    </from>
    <to>
      <col>18</col>
      <colOff>255600</colOff>
      <row>14</row>
      <rowOff>919080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13.xml><?xml version="1.0" encoding="utf-8"?>
<wsDr xmlns="http://schemas.openxmlformats.org/drawingml/2006/spreadsheetDrawing">
  <oneCellAnchor>
    <from>
      <col>11</col>
      <colOff>0</colOff>
      <row>3</row>
      <rowOff>0</rowOff>
    </from>
    <ext cx="648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11</col>
      <colOff>0</colOff>
      <row>3</row>
      <rowOff>0</rowOff>
    </from>
    <ext cx="648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xml><?xml version="1.0" encoding="utf-8"?>
<wsDr xmlns="http://schemas.openxmlformats.org/drawingml/2006/spreadsheetDrawing">
  <twoCellAnchor editAs="oneCell">
    <from>
      <col>9</col>
      <colOff>0</colOff>
      <row>3</row>
      <rowOff>0</rowOff>
    </from>
    <to>
      <col>19</col>
      <colOff>363960</colOff>
      <row>15</row>
      <rowOff>326520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16.xml><?xml version="1.0" encoding="utf-8"?>
<wsDr xmlns="http://schemas.openxmlformats.org/drawingml/2006/spreadsheetDrawing">
  <twoCellAnchor editAs="oneCell">
    <from>
      <col>9</col>
      <colOff>0</colOff>
      <row>3</row>
      <rowOff>0</rowOff>
    </from>
    <to>
      <col>19</col>
      <colOff>363960</colOff>
      <row>19</row>
      <rowOff>214200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17.xml><?xml version="1.0" encoding="utf-8"?>
<wsDr xmlns="http://schemas.openxmlformats.org/drawingml/2006/spreadsheetDrawing">
  <twoCellAnchor editAs="oneCell">
    <from>
      <col>9</col>
      <colOff>0</colOff>
      <row>3</row>
      <rowOff>0</rowOff>
    </from>
    <to>
      <col>17</col>
      <colOff>147240</colOff>
      <row>16</row>
      <rowOff>326520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18.xml><?xml version="1.0" encoding="utf-8"?>
<wsDr xmlns="http://schemas.openxmlformats.org/drawingml/2006/spreadsheetDrawing">
  <twoCellAnchor editAs="oneCell">
    <from>
      <col>9</col>
      <colOff>0</colOff>
      <row>3</row>
      <rowOff>0</rowOff>
    </from>
    <to>
      <col>17</col>
      <colOff>147240</colOff>
      <row>17</row>
      <rowOff>170280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19.xml><?xml version="1.0" encoding="utf-8"?>
<wsDr xmlns="http://schemas.openxmlformats.org/drawingml/2006/spreadsheetDrawing">
  <twoCellAnchor editAs="oneCell">
    <from>
      <col>9</col>
      <colOff>0</colOff>
      <row>3</row>
      <rowOff>0</rowOff>
    </from>
    <to>
      <col>19</col>
      <colOff>363960</colOff>
      <row>15</row>
      <rowOff>42120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0.xml><?xml version="1.0" encoding="utf-8"?>
<wsDr xmlns="http://schemas.openxmlformats.org/drawingml/2006/spreadsheetDrawing">
  <twoCellAnchor editAs="oneCell">
    <from>
      <col>9</col>
      <colOff>0</colOff>
      <row>3</row>
      <rowOff>0</rowOff>
    </from>
    <to>
      <col>17</col>
      <colOff>147240</colOff>
      <row>17</row>
      <rowOff>170280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1.xml><?xml version="1.0" encoding="utf-8"?>
<wsDr xmlns="http://schemas.openxmlformats.org/drawingml/2006/spreadsheetDrawing">
  <twoCellAnchor editAs="oneCell">
    <from>
      <col>9</col>
      <colOff>0</colOff>
      <row>3</row>
      <rowOff>0</rowOff>
    </from>
    <to>
      <col>17</col>
      <colOff>147240</colOff>
      <row>15</row>
      <rowOff>262440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2.xml><?xml version="1.0" encoding="utf-8"?>
<wsDr xmlns="http://schemas.openxmlformats.org/drawingml/2006/spreadsheetDrawing">
  <twoCellAnchor editAs="oneCell">
    <from>
      <col>9</col>
      <colOff>0</colOff>
      <row>3</row>
      <rowOff>0</rowOff>
    </from>
    <to>
      <col>19</col>
      <colOff>363960</colOff>
      <row>17</row>
      <rowOff>677880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3.xml><?xml version="1.0" encoding="utf-8"?>
<wsDr xmlns="http://schemas.openxmlformats.org/drawingml/2006/spreadsheetDrawing">
  <twoCellAnchor editAs="oneCell">
    <from>
      <col>9</col>
      <colOff>0</colOff>
      <row>3</row>
      <rowOff>0</rowOff>
    </from>
    <to>
      <col>17</col>
      <colOff>147240</colOff>
      <row>17</row>
      <rowOff>57960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4.xml><?xml version="1.0" encoding="utf-8"?>
<wsDr xmlns="http://schemas.openxmlformats.org/drawingml/2006/spreadsheetDrawing">
  <twoCellAnchor editAs="oneCell">
    <from>
      <col>9</col>
      <colOff>0</colOff>
      <row>3</row>
      <rowOff>0</rowOff>
    </from>
    <to>
      <col>19</col>
      <colOff>363960</colOff>
      <row>13</row>
      <rowOff>533520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5.xml><?xml version="1.0" encoding="utf-8"?>
<wsDr xmlns="http://schemas.openxmlformats.org/drawingml/2006/spreadsheetDrawing">
  <twoCellAnchor editAs="oneCell">
    <from>
      <col>9</col>
      <colOff>0</colOff>
      <row>3</row>
      <rowOff>0</rowOff>
    </from>
    <to>
      <col>19</col>
      <colOff>363960</colOff>
      <row>16</row>
      <rowOff>306360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6.xml><?xml version="1.0" encoding="utf-8"?>
<wsDr xmlns="http://schemas.openxmlformats.org/drawingml/2006/spreadsheetDrawing">
  <twoCellAnchor editAs="oneCell">
    <from>
      <col>9</col>
      <colOff>0</colOff>
      <row>3</row>
      <rowOff>0</rowOff>
    </from>
    <to>
      <col>19</col>
      <colOff>363960</colOff>
      <row>15</row>
      <rowOff>70200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7.xml><?xml version="1.0" encoding="utf-8"?>
<wsDr xmlns="http://schemas.openxmlformats.org/drawingml/2006/spreadsheetDrawing">
  <twoCellAnchor editAs="oneCell">
    <from>
      <col>9</col>
      <colOff>0</colOff>
      <row>3</row>
      <rowOff>0</rowOff>
    </from>
    <to>
      <col>19</col>
      <colOff>363960</colOff>
      <row>15</row>
      <rowOff>324720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8.xml><?xml version="1.0" encoding="utf-8"?>
<wsDr xmlns="http://schemas.openxmlformats.org/drawingml/2006/spreadsheetDrawing">
  <twoCellAnchor editAs="oneCell">
    <from>
      <col>9</col>
      <colOff>0</colOff>
      <row>3</row>
      <rowOff>0</rowOff>
    </from>
    <to>
      <col>19</col>
      <colOff>363960</colOff>
      <row>17</row>
      <rowOff>115920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9.xml><?xml version="1.0" encoding="utf-8"?>
<wsDr xmlns="http://schemas.openxmlformats.org/drawingml/2006/spreadsheetDrawing">
  <twoCellAnchor editAs="oneCell">
    <from>
      <col>9</col>
      <colOff>0</colOff>
      <row>3</row>
      <rowOff>0</rowOff>
    </from>
    <to>
      <col>19</col>
      <colOff>363960</colOff>
      <row>17</row>
      <rowOff>3240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0.xml><?xml version="1.0" encoding="utf-8"?>
<wsDr xmlns="http://schemas.openxmlformats.org/drawingml/2006/spreadsheetDrawing">
  <twoCellAnchor editAs="oneCell">
    <from>
      <col>9</col>
      <colOff>0</colOff>
      <row>3</row>
      <rowOff>0</rowOff>
    </from>
    <to>
      <col>19</col>
      <colOff>363960</colOff>
      <row>15</row>
      <rowOff>182520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1.xml><?xml version="1.0" encoding="utf-8"?>
<wsDr xmlns="http://schemas.openxmlformats.org/drawingml/2006/spreadsheetDrawing">
  <twoCellAnchor editAs="oneCell">
    <from>
      <col>9</col>
      <colOff>0</colOff>
      <row>3</row>
      <rowOff>0</rowOff>
    </from>
    <to>
      <col>19</col>
      <colOff>363960</colOff>
      <row>14</row>
      <rowOff>260640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2.xml><?xml version="1.0" encoding="utf-8"?>
<wsDr xmlns="http://schemas.openxmlformats.org/drawingml/2006/spreadsheetDrawing">
  <twoCellAnchor editAs="oneCell">
    <from>
      <col>9</col>
      <colOff>0</colOff>
      <row>3</row>
      <rowOff>0</rowOff>
    </from>
    <to>
      <col>19</col>
      <colOff>363960</colOff>
      <row>16</row>
      <rowOff>276480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3.xml><?xml version="1.0" encoding="utf-8"?>
<wsDr xmlns="http://schemas.openxmlformats.org/drawingml/2006/spreadsheetDrawing">
  <twoCellAnchor editAs="oneCell">
    <from>
      <col>9</col>
      <colOff>0</colOff>
      <row>3</row>
      <rowOff>0</rowOff>
    </from>
    <to>
      <col>19</col>
      <colOff>363960</colOff>
      <row>17</row>
      <rowOff>3240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4.xml><?xml version="1.0" encoding="utf-8"?>
<wsDr xmlns="http://schemas.openxmlformats.org/drawingml/2006/spreadsheetDrawing">
  <twoCellAnchor editAs="oneCell">
    <from>
      <col>9</col>
      <colOff>0</colOff>
      <row>3</row>
      <rowOff>0</rowOff>
    </from>
    <to>
      <col>19</col>
      <colOff>363960</colOff>
      <row>15</row>
      <rowOff>182520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5.xml><?xml version="1.0" encoding="utf-8"?>
<wsDr xmlns="http://schemas.openxmlformats.org/drawingml/2006/spreadsheetDrawing">
  <twoCellAnchor editAs="oneCell">
    <from>
      <col>9</col>
      <colOff>0</colOff>
      <row>3</row>
      <rowOff>0</rowOff>
    </from>
    <to>
      <col>19</col>
      <colOff>363960</colOff>
      <row>14</row>
      <rowOff>152640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6.xml><?xml version="1.0" encoding="utf-8"?>
<wsDr xmlns="http://schemas.openxmlformats.org/drawingml/2006/spreadsheetDrawing">
  <twoCellAnchor editAs="oneCell">
    <from>
      <col>9</col>
      <colOff>0</colOff>
      <row>3</row>
      <rowOff>0</rowOff>
    </from>
    <to>
      <col>19</col>
      <colOff>363960</colOff>
      <row>16</row>
      <rowOff>134280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7.xml><?xml version="1.0" encoding="utf-8"?>
<wsDr xmlns="http://schemas.openxmlformats.org/drawingml/2006/spreadsheetDrawing">
  <twoCellAnchor editAs="oneCell">
    <from>
      <col>9</col>
      <colOff>0</colOff>
      <row>3</row>
      <rowOff>0</rowOff>
    </from>
    <to>
      <col>19</col>
      <colOff>363960</colOff>
      <row>15</row>
      <rowOff>129600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8.xml><?xml version="1.0" encoding="utf-8"?>
<wsDr xmlns="http://schemas.openxmlformats.org/drawingml/2006/spreadsheetDrawing">
  <twoCellAnchor editAs="oneCell">
    <from>
      <col>9</col>
      <colOff>0</colOff>
      <row>3</row>
      <rowOff>0</rowOff>
    </from>
    <to>
      <col>19</col>
      <colOff>363960</colOff>
      <row>14</row>
      <rowOff>118440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9.xml><?xml version="1.0" encoding="utf-8"?>
<wsDr xmlns="http://schemas.openxmlformats.org/drawingml/2006/spreadsheetDrawing">
  <twoCellAnchor editAs="oneCell">
    <from>
      <col>9</col>
      <colOff>0</colOff>
      <row>3</row>
      <rowOff>0</rowOff>
    </from>
    <to>
      <col>19</col>
      <colOff>363960</colOff>
      <row>16</row>
      <rowOff>164160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0.xml><?xml version="1.0" encoding="utf-8"?>
<wsDr xmlns="http://schemas.openxmlformats.org/drawingml/2006/spreadsheetDrawing">
  <twoCellAnchor editAs="oneCell">
    <from>
      <col>9</col>
      <colOff>0</colOff>
      <row>3</row>
      <rowOff>0</rowOff>
    </from>
    <to>
      <col>19</col>
      <colOff>363960</colOff>
      <row>14</row>
      <rowOff>177840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1.xml><?xml version="1.0" encoding="utf-8"?>
<wsDr xmlns="http://schemas.openxmlformats.org/drawingml/2006/spreadsheetDrawing">
  <twoCellAnchor editAs="oneCell">
    <from>
      <col>9</col>
      <colOff>0</colOff>
      <row>3</row>
      <rowOff>0</rowOff>
    </from>
    <to>
      <col>19</col>
      <colOff>364320</colOff>
      <row>11</row>
      <rowOff>150840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2.xml><?xml version="1.0" encoding="utf-8"?>
<wsDr xmlns="http://schemas.openxmlformats.org/drawingml/2006/spreadsheetDrawing">
  <twoCellAnchor editAs="oneCell">
    <from>
      <col>9</col>
      <colOff>0</colOff>
      <row>3</row>
      <rowOff>0</rowOff>
    </from>
    <to>
      <col>19</col>
      <colOff>364320</colOff>
      <row>13</row>
      <rowOff>113760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3.xml><?xml version="1.0" encoding="utf-8"?>
<wsDr xmlns="http://schemas.openxmlformats.org/drawingml/2006/spreadsheetDrawing">
  <twoCellAnchor editAs="oneCell">
    <from>
      <col>9</col>
      <colOff>0</colOff>
      <row>3</row>
      <rowOff>0</rowOff>
    </from>
    <to>
      <col>17</col>
      <colOff>147240</colOff>
      <row>14</row>
      <rowOff>95400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4.xml><?xml version="1.0" encoding="utf-8"?>
<wsDr xmlns="http://schemas.openxmlformats.org/drawingml/2006/spreadsheetDrawing">
  <twoCellAnchor editAs="oneCell">
    <from>
      <col>9</col>
      <colOff>0</colOff>
      <row>3</row>
      <rowOff>0</rowOff>
    </from>
    <to>
      <col>20</col>
      <colOff>472680</colOff>
      <row>17</row>
      <rowOff>103680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5.xml><?xml version="1.0" encoding="utf-8"?>
<wsDr xmlns="http://schemas.openxmlformats.org/drawingml/2006/spreadsheetDrawing">
  <twoCellAnchor editAs="oneCell">
    <from>
      <col>9</col>
      <colOff>0</colOff>
      <row>3</row>
      <rowOff>0</rowOff>
    </from>
    <to>
      <col>17</col>
      <colOff>147240</colOff>
      <row>15</row>
      <rowOff>188640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statista.com/research-ai/chat/019e1f8f-6f89-7813-9686-730f97cc93af" TargetMode="External" Id="rId1"/></Relationships>
</file>

<file path=xl/worksheets/_rels/sheet3.xml.rels><Relationships xmlns="http://schemas.openxmlformats.org/package/2006/relationships"><Relationship Type="http://schemas.openxmlformats.org/officeDocument/2006/relationships/hyperlink" Target="https://www.statista.com/research-ai/chat/019e1f8f-6f89-7813-9686-730f97cc93af" TargetMode="External" Id="rId1"/><Relationship Type="http://schemas.openxmlformats.org/officeDocument/2006/relationships/hyperlink" Target="https://www.statista.com/statistics/1619156/ai-task-automation-trends-among-employees-global/" TargetMode="External" Id="rId2"/><Relationship Type="http://schemas.openxmlformats.org/officeDocument/2006/relationships/hyperlink" Target="https://www.statista.com/statistics/1610952/cost-decrease-by-ai-analytics-enterprise/" TargetMode="External" Id="rId3"/><Relationship Type="http://schemas.openxmlformats.org/officeDocument/2006/relationships/hyperlink" Target="https://www.statista.com/statistics/1254724/revenue-impact-of-ai-financial-services/" TargetMode="External" Id="rId4"/><Relationship Type="http://schemas.openxmlformats.org/officeDocument/2006/relationships/hyperlink" Target="https://www.statista.com/statistics/1620734/adoption-of-pricing-models-for-agentic-ai-tools/" TargetMode="External" Id="rId5"/><Relationship Type="http://schemas.openxmlformats.org/officeDocument/2006/relationships/hyperlink" Target="https://www.statista.com/statistics/1378626/growth-of-labor-productivity-ai-adoption-2023/" TargetMode="External" Id="rId6"/></Relationships>
</file>

<file path=xl/worksheets/_rels/sheet4.xml.rels><Relationships xmlns="http://schemas.openxmlformats.org/package/2006/relationships"><Relationship Type="http://schemas.openxmlformats.org/officeDocument/2006/relationships/hyperlink" Target="https://www.frbsf.org/wp-content/uploads/crafts.pdf" TargetMode="External" Id="rId1"/><Relationship Type="http://schemas.openxmlformats.org/officeDocument/2006/relationships/hyperlink" Target="https://www.nber.org/papers/w32487" TargetMode="External" Id="rId2"/><Relationship Type="http://schemas.openxmlformats.org/officeDocument/2006/relationships/drawing" Target="/xl/drawings/drawing1.xml" Id="rId3"/></Relationships>
</file>

<file path=xl/worksheets/_rels/sheet5.xml.rels><Relationships xmlns="http://schemas.openxmlformats.org/package/2006/relationships"><Relationship Type="http://schemas.openxmlformats.org/officeDocument/2006/relationships/hyperlink" Target="https://www.nber.org/papers/w32487" TargetMode="External" Id="rId1"/><Relationship Type="http://schemas.openxmlformats.org/officeDocument/2006/relationships/hyperlink" Target="https://www.nber.org/papers/w31161" TargetMode="External" Id="rId2"/><Relationship Type="http://schemas.openxmlformats.org/officeDocument/2006/relationships/hyperlink" Target="https://mlq.ai/media/quarterly_decks/v0.1_State_of_AI_in_Business_2025_Report.pdf" TargetMode="External" Id="rId3"/></Relationships>
</file>

<file path=xl/worksheets/_rels/sheet6.xml.rels><Relationships xmlns="http://schemas.openxmlformats.org/package/2006/relationships"><Relationship Type="http://schemas.openxmlformats.org/officeDocument/2006/relationships/hyperlink" Target="https://www.frbsf.org/wp-content/uploads/crafts.pdf" TargetMode="External" Id="rId1"/><Relationship Type="http://schemas.openxmlformats.org/officeDocument/2006/relationships/hyperlink" Target="https://www.nber.org/papers/w32487" TargetMode="External" Id="rId2"/><Relationship Type="http://schemas.openxmlformats.org/officeDocument/2006/relationships/drawing" Target="/xl/drawings/drawing2.xml" Id="rId3"/></Relationships>
</file>

<file path=xl/worksheets/_rels/sheet7.xml.rels><Relationships xmlns="http://schemas.openxmlformats.org/package/2006/relationships"><Relationship Type="http://schemas.openxmlformats.org/officeDocument/2006/relationships/hyperlink" Target="https://www.statista.com/statistics/1254724/revenue-impact-of-ai-financial-services/" TargetMode="External" Id="rId1"/><Relationship Type="http://schemas.openxmlformats.org/officeDocument/2006/relationships/hyperlink" Target="https://www.statista.com/statistics/1610952/cost-decrease-by-ai-analytics-enterprise/" TargetMode="External" Id="rId2"/><Relationship Type="http://schemas.openxmlformats.org/officeDocument/2006/relationships/hyperlink" Target="https://www.statista.com/statistics/1610445/functional-impact-of-generative-ai-worldwide/" TargetMode="External" Id="rId3"/><Relationship Type="http://schemas.openxmlformats.org/officeDocument/2006/relationships/hyperlink" Target="https://www.statista.com/research-ai/chat/019e1f8f-6f89-7813-9686-730f97cc93af" TargetMode="External" Id="rId4"/><Relationship Type="http://schemas.openxmlformats.org/officeDocument/2006/relationships/hyperlink" Target="https://users.metu.edu.tr/mugan/Hinterhuber%202004%20value%20based%20pricing.pdf" TargetMode="External" Id="rId5"/><Relationship Type="http://schemas.openxmlformats.org/officeDocument/2006/relationships/drawing" Target="/xl/drawings/drawing3.xml" Id="rId6"/></Relationships>
</file>

<file path=xl/worksheets/_rels/sheet8.xml.rels><Relationships xmlns="http://schemas.openxmlformats.org/package/2006/relationships"><Relationship Type="http://schemas.openxmlformats.org/officeDocument/2006/relationships/hyperlink" Target="https://www.statista.com/research-ai/chat/019e1f8f-6f89-7813-9686-730f97cc93af" TargetMode="External" Id="rId1"/><Relationship Type="http://schemas.openxmlformats.org/officeDocument/2006/relationships/hyperlink" Target="https://thegtmnewsletter.substack.com/p/gtm-178-intercom-ai-agent-outcome-based-pricing-archana-agrawal" TargetMode="External" Id="rId2"/><Relationship Type="http://schemas.openxmlformats.org/officeDocument/2006/relationships/hyperlink" Target="https://www.bvp.com/atlas/the-ai-pricing-and-monetization-playbook" TargetMode="External" Id="rId3"/></Relationships>
</file>

<file path=xl/worksheets/_rels/sheet9.xml.rels><Relationships xmlns="http://schemas.openxmlformats.org/package/2006/relationships"><Relationship Type="http://schemas.openxmlformats.org/officeDocument/2006/relationships/hyperlink" Target="https://fortune.com/2025/05/28/anthropic-ceo-warning-ai-job-loss/" TargetMode="External" Id="rId1"/><Relationship Type="http://schemas.openxmlformats.org/officeDocument/2006/relationships/hyperlink" Target="https://www.axios.com/2025/05/28/ai-jobs-white-collar-unemployment-anthropic" TargetMode="External" Id="rId2"/><Relationship Type="http://schemas.openxmlformats.org/officeDocument/2006/relationships/hyperlink" Target="https://www.darioamodei.com/essay/machines-of-loving-grace" TargetMode="External" Id="rId3"/><Relationship Type="http://schemas.openxmlformats.org/officeDocument/2006/relationships/hyperlink" Target="https://blog.samaltman.com/reflections" TargetMode="External" Id="rId4"/><Relationship Type="http://schemas.openxmlformats.org/officeDocument/2006/relationships/hyperlink" Target="https://blog.samaltman.com/three-observations" TargetMode="External" Id="rId5"/><Relationship Type="http://schemas.openxmlformats.org/officeDocument/2006/relationships/hyperlink" Target="https://fortune.com/2025/07/23/sam-altman-artificial-intelligence-too-cheap-jobs/" TargetMode="External" Id="rId6"/><Relationship Type="http://schemas.openxmlformats.org/officeDocument/2006/relationships/hyperlink" Target="https://www.cnbc.com/2025/05/28/nvidia-ceo-jensen-huang-youll-lose-your-job-to-somebody-who-uses-ai.html" TargetMode="External" Id="rId7"/><Relationship Type="http://schemas.openxmlformats.org/officeDocument/2006/relationships/hyperlink" Target="https://techcrunch.com/2024/03/19/agi-and-hallucinations/" TargetMode="External" Id="rId8"/><Relationship Type="http://schemas.openxmlformats.org/officeDocument/2006/relationships/hyperlink" Target="https://www.anthropic.com/research/economic-index-march-2026-report" TargetMode="External" Id="rId9"/><Relationship Type="http://schemas.openxmlformats.org/officeDocument/2006/relationships/hyperlink" Target="https://fortune.com/2026/05/05/dario-amodei-jevons-paradox-will-ai-wipe-out-white-collar-jobs/" TargetMode="External" Id="rId10"/><Relationship Type="http://schemas.openxmlformats.org/officeDocument/2006/relationships/drawing" Target="/xl/drawings/drawing4.xml" Id="rId11"/></Relationships>
</file>

<file path=xl/worksheets/_rels/sheet10.xml.rels><Relationships xmlns="http://schemas.openxmlformats.org/package/2006/relationships"><Relationship Type="http://schemas.openxmlformats.org/officeDocument/2006/relationships/hyperlink" Target="https://www.anthropic.com/economic-index" TargetMode="External" Id="rId1"/><Relationship Type="http://schemas.openxmlformats.org/officeDocument/2006/relationships/hyperlink" Target="https://www.anthropic.com/research/anthropic-economic-index-january-2026-report" TargetMode="External" Id="rId2"/><Relationship Type="http://schemas.openxmlformats.org/officeDocument/2006/relationships/hyperlink" Target="https://www.anthropic.com/research/economic-index-march-2026-report" TargetMode="External" Id="rId3"/><Relationship Type="http://schemas.openxmlformats.org/officeDocument/2006/relationships/hyperlink" Target="https://www.anthropic.com/news/the-anthropic-economic-index" TargetMode="External" Id="rId4"/><Relationship Type="http://schemas.openxmlformats.org/officeDocument/2006/relationships/drawing" Target="/xl/drawings/drawing5.xml" Id="rId5"/></Relationships>
</file>

<file path=xl/worksheets/_rels/sheet11.xml.rels><Relationships xmlns="http://schemas.openxmlformats.org/package/2006/relationships"><Relationship Type="http://schemas.openxmlformats.org/officeDocument/2006/relationships/hyperlink" Target="https://www.science.org/doi/10.1126/science.adh2586" TargetMode="External" Id="rId1"/><Relationship Type="http://schemas.openxmlformats.org/officeDocument/2006/relationships/hyperlink" Target="https://www.nber.org/papers/w31161" TargetMode="External" Id="rId2"/><Relationship Type="http://schemas.openxmlformats.org/officeDocument/2006/relationships/hyperlink" Target="https://www.hbs.edu/ris/Publication%20Files/24-013_d9b45b68-9e74-42d6-a1c6-c72fb70c7282.pdf" TargetMode="External" Id="rId3"/><Relationship Type="http://schemas.openxmlformats.org/officeDocument/2006/relationships/hyperlink" Target="https://arxiv.org/abs/2302.06590" TargetMode="External" Id="rId4"/><Relationship Type="http://schemas.openxmlformats.org/officeDocument/2006/relationships/hyperlink" Target="https://metr.org/blog/2025-07-10-early-2025-ai-experienced-os-dev-study/" TargetMode="External" Id="rId5"/><Relationship Type="http://schemas.openxmlformats.org/officeDocument/2006/relationships/hyperlink" Target="https://www.bcg.com/publications/2025/ai-at-work-momentum-builds-but-gaps-remain" TargetMode="External" Id="rId6"/><Relationship Type="http://schemas.openxmlformats.org/officeDocument/2006/relationships/hyperlink" Target="https://www.microsoft.com/en-us/worklab/work-trend-index/ai-at-work-is-here-now-comes-the-hard-part" TargetMode="External" Id="rId7"/><Relationship Type="http://schemas.openxmlformats.org/officeDocument/2006/relationships/hyperlink" Target="https://hai.stanford.edu/assets/files/hai_ai-index-report-2025_chapter4_final.pdf" TargetMode="External" Id="rId8"/><Relationship Type="http://schemas.openxmlformats.org/officeDocument/2006/relationships/drawing" Target="/xl/drawings/drawing6.xml" Id="rId9"/></Relationships>
</file>

<file path=xl/worksheets/_rels/sheet12.xml.rels><Relationships xmlns="http://schemas.openxmlformats.org/package/2006/relationships"><Relationship Type="http://schemas.openxmlformats.org/officeDocument/2006/relationships/hyperlink" Target="https://www.mckinsey.com/capabilities/tech-and-ai/our-insights/the-economic-potential-of-generative-ai-the-next-productivity-frontier" TargetMode="External" Id="rId1"/><Relationship Type="http://schemas.openxmlformats.org/officeDocument/2006/relationships/hyperlink" Target="https://www.mckinsey.com/mgi/media-center/ai-could-increase-corporate-profits-by-4-trillion-a-year-according-to-new-research" TargetMode="External" Id="rId2"/><Relationship Type="http://schemas.openxmlformats.org/officeDocument/2006/relationships/hyperlink" Target="https://www.tomshardware.com/tech-industry/artificial-intelligence/ai-boosted-us-economy-by-basically-zero-in-2025-says-goldman-sachs-chief-economist-we-think-theres-been-a-lot-of-misreporting-of-the-impact-that-ai-investment-had-on-gdp-growth" TargetMode="External" Id="rId3"/><Relationship Type="http://schemas.openxmlformats.org/officeDocument/2006/relationships/drawing" Target="/xl/drawings/drawing7.xml" Id="rId4"/></Relationships>
</file>

<file path=xl/worksheets/_rels/sheet13.xml.rels><Relationships xmlns="http://schemas.openxmlformats.org/package/2006/relationships"><Relationship Type="http://schemas.openxmlformats.org/officeDocument/2006/relationships/hyperlink" Target="https://www.goldmansachs.com/insights/articles/generative-ai-could-raise-global-gdp-by-7-percent" TargetMode="External" Id="rId1"/><Relationship Type="http://schemas.openxmlformats.org/officeDocument/2006/relationships/hyperlink" Target="https://www.nber.org/papers/w32487" TargetMode="External" Id="rId2"/><Relationship Type="http://schemas.openxmlformats.org/officeDocument/2006/relationships/hyperlink" Target="https://www.pwc.com/gx/en/services/ai/ai-jobs-barometer.html" TargetMode="External" Id="rId3"/><Relationship Type="http://schemas.openxmlformats.org/officeDocument/2006/relationships/hyperlink" Target="https://www.mckinsey.com/capabilities/tech-and-ai/our-insights/the-economic-potential-of-generative-ai-the-next-productivity-frontier" TargetMode="External" Id="rId4"/><Relationship Type="http://schemas.openxmlformats.org/officeDocument/2006/relationships/drawing" Target="/xl/drawings/drawing8.xml" Id="rId5"/></Relationships>
</file>

<file path=xl/worksheets/_rels/sheet14.xml.rels><Relationships xmlns="http://schemas.openxmlformats.org/package/2006/relationships"><Relationship Type="http://schemas.openxmlformats.org/officeDocument/2006/relationships/hyperlink" Target="https://mlq.ai/media/quarterly_decks/v0.1_State_of_AI_in_Business_2025_Report.pdf" TargetMode="External" Id="rId1"/><Relationship Type="http://schemas.openxmlformats.org/officeDocument/2006/relationships/hyperlink" Target="https://fortune.com/2025/08/18/mit-report-95-percent-generative-ai-pilots-at-companies-failing-cfo/" TargetMode="External" Id="rId2"/><Relationship Type="http://schemas.openxmlformats.org/officeDocument/2006/relationships/hyperlink" Target="https://www.rand.org/pubs/research_reports/RRA2680-1.html" TargetMode="External" Id="rId3"/><Relationship Type="http://schemas.openxmlformats.org/officeDocument/2006/relationships/drawing" Target="/xl/drawings/drawing9.xml" Id="rId4"/></Relationships>
</file>

<file path=xl/worksheets/_rels/sheet15.xml.rels><Relationships xmlns="http://schemas.openxmlformats.org/package/2006/relationships"><Relationship Type="http://schemas.openxmlformats.org/officeDocument/2006/relationships/hyperlink" Target="https://www.mckinsey.com/~/media/mckinsey/business%20functions/quantumblack/our%20insights/the%20state%20of%20ai/november%202025/the-state-of-ai-2025-agents-innovation_cmyk-v1.pdf" TargetMode="External" Id="rId1"/><Relationship Type="http://schemas.openxmlformats.org/officeDocument/2006/relationships/hyperlink" Target="https://www.mckinsey.com/capabilities/quantumblack/our-insights/the-state-of-ai" TargetMode="External" Id="rId2"/><Relationship Type="http://schemas.openxmlformats.org/officeDocument/2006/relationships/drawing" Target="/xl/drawings/drawing10.xml" Id="rId3"/></Relationships>
</file>

<file path=xl/worksheets/_rels/sheet16.xml.rels><Relationships xmlns="http://schemas.openxmlformats.org/package/2006/relationships"><Relationship Type="http://schemas.openxmlformats.org/officeDocument/2006/relationships/hyperlink" Target="https://www.mckinsey.com/capabilities/quantumblack/our-insights/the-state-of-ai-2024" TargetMode="External" Id="rId1"/><Relationship Type="http://schemas.openxmlformats.org/officeDocument/2006/relationships/hyperlink" Target="https://hai.stanford.edu/ai-index/2025-ai-index-report" TargetMode="External" Id="rId2"/><Relationship Type="http://schemas.openxmlformats.org/officeDocument/2006/relationships/hyperlink" Target="https://www.federalreserve.gov/econres/notes/feds-notes/monitoring-ai-adoption-in-the-u-s-economy-20260403.html" TargetMode="External" Id="rId3"/><Relationship Type="http://schemas.openxmlformats.org/officeDocument/2006/relationships/hyperlink" Target="https://www.bcg.com/publications/2025/ai-at-work-momentum-builds-but-gaps-remain" TargetMode="External" Id="rId4"/><Relationship Type="http://schemas.openxmlformats.org/officeDocument/2006/relationships/hyperlink" Target="https://www.microsoft.com/en-us/worklab/work-trend-index/ai-at-work-is-here-now-comes-the-hard-part" TargetMode="External" Id="rId5"/><Relationship Type="http://schemas.openxmlformats.org/officeDocument/2006/relationships/drawing" Target="/xl/drawings/drawing11.xml" Id="rId6"/></Relationships>
</file>

<file path=xl/worksheets/_rels/sheet17.xml.rels><Relationships xmlns="http://schemas.openxmlformats.org/package/2006/relationships"><Relationship Type="http://schemas.openxmlformats.org/officeDocument/2006/relationships/hyperlink" Target="https://www.statista.com/statistics/1619156/" TargetMode="External" Id="rId1"/><Relationship Type="http://schemas.openxmlformats.org/officeDocument/2006/relationships/hyperlink" Target="https://www.capgemini.com/insights/research-library/ai-in-action/" TargetMode="External" Id="rId2"/><Relationship Type="http://schemas.openxmlformats.org/officeDocument/2006/relationships/drawing" Target="/xl/drawings/drawing12.xml" Id="rId3"/></Relationships>
</file>

<file path=xl/worksheets/_rels/sheet18.xml.rels><Relationships xmlns="http://schemas.openxmlformats.org/package/2006/relationships"><Relationship Type="http://schemas.openxmlformats.org/officeDocument/2006/relationships/hyperlink" Target="https://www.statista.com/chart/35046/capital-expenditure-of-meta-alphabet-amazon-and-microsoft/" TargetMode="External" Id="rId1"/><Relationship Type="http://schemas.openxmlformats.org/officeDocument/2006/relationships/hyperlink" Target="https://fortune.com/2026/04/30/big-tech-hyperscalers-will-spend-700-billion-on-ai-infrastructure-this-year-with-no-clear-end-in-sight-eye-on-ai/" TargetMode="External" Id="rId2"/><Relationship Type="http://schemas.openxmlformats.org/officeDocument/2006/relationships/hyperlink" Target="https://www.goldmansachs.com/images/migrated/insights/pages/gs-research/gen-ai--too-much-spend,-too-little-benefit-/TOM_AI%202.0_ForRedaction.pdf" TargetMode="External" Id="rId3"/><Relationship Type="http://schemas.openxmlformats.org/officeDocument/2006/relationships/hyperlink" Target="https://www.goldmansachs.com/insights/articles/tracking-trillions-the-assumptions-shaping-scale-of-the-ai-build-out" TargetMode="External" Id="rId4"/><Relationship Type="http://schemas.openxmlformats.org/officeDocument/2006/relationships/hyperlink" Target="https://www.goldmansachs.com/insights/goldman-sachs-exchanges/a-skeptical-look-at-ai-investment" TargetMode="External" Id="rId5"/><Relationship Type="http://schemas.openxmlformats.org/officeDocument/2006/relationships/hyperlink" Target="https://www.bain.com/about/media-center/press-releases/20252/$2-trillion-in-new-revenue-needed-to-fund-ais-scaling-trend---bain--companys-6th-annual-global-technology-report/" TargetMode="External" Id="rId6"/><Relationship Type="http://schemas.openxmlformats.org/officeDocument/2006/relationships/hyperlink" Target="https://www.cnbc.com/2026/04/30/ai-boom-big-tech-capital-expenditures-now-seen-topping-1-trillion-in-2027-.html" TargetMode="External" Id="rId7"/><Relationship Type="http://schemas.openxmlformats.org/officeDocument/2006/relationships/drawing" Target="/xl/drawings/drawing13.xml" Id="rId8"/></Relationships>
</file>

<file path=xl/worksheets/_rels/sheet19.xml.rels><Relationships xmlns="http://schemas.openxmlformats.org/package/2006/relationships"><Relationship Type="http://schemas.openxmlformats.org/officeDocument/2006/relationships/hyperlink" Target="https://www.frbsf.org/wp-content/uploads/crafts.pdf" TargetMode="External" Id="rId1"/><Relationship Type="http://schemas.openxmlformats.org/officeDocument/2006/relationships/hyperlink" Target="https://www.nber.org/papers/w8676" TargetMode="External" Id="rId2"/><Relationship Type="http://schemas.openxmlformats.org/officeDocument/2006/relationships/hyperlink" Target="https://www.brookings.edu/articles/the-solow-productivity-paradox-what-do-computers-do-to-productivity/" TargetMode="External" Id="rId3"/><Relationship Type="http://schemas.openxmlformats.org/officeDocument/2006/relationships/hyperlink" Target="https://www.mckinsey.com/capabilities/tech-and-ai/our-insights/is-the-solow-paradox-back" TargetMode="External" Id="rId4"/><Relationship Type="http://schemas.openxmlformats.org/officeDocument/2006/relationships/hyperlink" Target="https://en.wikipedia.org/wiki/Productivity_paradox" TargetMode="External" Id="rId5"/><Relationship Type="http://schemas.openxmlformats.org/officeDocument/2006/relationships/hyperlink" Target="https://fortune.com/2026/02/17/ai-productivity-paradox-ceo-study-robert-solow-information-technology-age/" TargetMode="External" Id="rId6"/><Relationship Type="http://schemas.openxmlformats.org/officeDocument/2006/relationships/drawing" Target="/xl/drawings/drawing14.xml" Id="rId7"/></Relationships>
</file>

<file path=xl/worksheets/_rels/sheet20.xml.rels><Relationships xmlns="http://schemas.openxmlformats.org/package/2006/relationships"><Relationship Type="http://schemas.openxmlformats.org/officeDocument/2006/relationships/hyperlink" Target="https://www.statista.com/statistics/1619156/ai-task-automation-trends-among-employees-global/" TargetMode="External" Id="rId1"/><Relationship Type="http://schemas.openxmlformats.org/officeDocument/2006/relationships/hyperlink" Target="https://www.capgemini.com/insights/research-library/ai-in-action/" TargetMode="External" Id="rId2"/><Relationship Type="http://schemas.openxmlformats.org/officeDocument/2006/relationships/drawing" Target="/xl/drawings/drawing15.xml" Id="rId3"/></Relationships>
</file>

<file path=xl/worksheets/_rels/sheet21.xml.rels><Relationships xmlns="http://schemas.openxmlformats.org/package/2006/relationships"><Relationship Type="http://schemas.openxmlformats.org/officeDocument/2006/relationships/hyperlink" Target="https://www.statista.com/statistics/1610952/cost-decrease-by-ai-analytics-enterprise/" TargetMode="External" Id="rId1"/><Relationship Type="http://schemas.openxmlformats.org/officeDocument/2006/relationships/drawing" Target="/xl/drawings/drawing16.xml" Id="rId2"/></Relationships>
</file>

<file path=xl/worksheets/_rels/sheet22.xml.rels><Relationships xmlns="http://schemas.openxmlformats.org/package/2006/relationships"><Relationship Type="http://schemas.openxmlformats.org/officeDocument/2006/relationships/hyperlink" Target="https://www.statista.com/statistics/1254724/revenue-impact-of-ai-financial-services/" TargetMode="External" Id="rId1"/><Relationship Type="http://schemas.openxmlformats.org/officeDocument/2006/relationships/drawing" Target="/xl/drawings/drawing17.xml" Id="rId2"/></Relationships>
</file>

<file path=xl/worksheets/_rels/sheet23.xml.rels><Relationships xmlns="http://schemas.openxmlformats.org/package/2006/relationships"><Relationship Type="http://schemas.openxmlformats.org/officeDocument/2006/relationships/hyperlink" Target="https://www.statista.com/statistics/1661254/ai-impact-on-profitability-in-finance-worldwide/" TargetMode="External" Id="rId1"/><Relationship Type="http://schemas.openxmlformats.org/officeDocument/2006/relationships/drawing" Target="/xl/drawings/drawing18.xml" Id="rId2"/></Relationships>
</file>

<file path=xl/worksheets/_rels/sheet24.xml.rels><Relationships xmlns="http://schemas.openxmlformats.org/package/2006/relationships"><Relationship Type="http://schemas.openxmlformats.org/officeDocument/2006/relationships/hyperlink" Target="https://www.statista.com/statistics/1661255/ai-impact-on-profitability-in-finance-worldwide-by-characteristics/" TargetMode="External" Id="rId1"/><Relationship Type="http://schemas.openxmlformats.org/officeDocument/2006/relationships/drawing" Target="/xl/drawings/drawing19.xml" Id="rId2"/></Relationships>
</file>

<file path=xl/worksheets/_rels/sheet25.xml.rels><Relationships xmlns="http://schemas.openxmlformats.org/package/2006/relationships"><Relationship Type="http://schemas.openxmlformats.org/officeDocument/2006/relationships/hyperlink" Target="https://www.statista.com/statistics/1661260/ai-impact-on-workforce-in-last-three-years-finance-worldwide/" TargetMode="External" Id="rId1"/><Relationship Type="http://schemas.openxmlformats.org/officeDocument/2006/relationships/drawing" Target="/xl/drawings/drawing20.xml" Id="rId2"/></Relationships>
</file>

<file path=xl/worksheets/_rels/sheet26.xml.rels><Relationships xmlns="http://schemas.openxmlformats.org/package/2006/relationships"><Relationship Type="http://schemas.openxmlformats.org/officeDocument/2006/relationships/hyperlink" Target="https://www.statista.com/statistics/1610445/functional-impact-of-generative-ai-worldwide/" TargetMode="External" Id="rId1"/><Relationship Type="http://schemas.openxmlformats.org/officeDocument/2006/relationships/drawing" Target="/xl/drawings/drawing21.xml" Id="rId2"/></Relationships>
</file>

<file path=xl/worksheets/_rels/sheet27.xml.rels><Relationships xmlns="http://schemas.openxmlformats.org/package/2006/relationships"><Relationship Type="http://schemas.openxmlformats.org/officeDocument/2006/relationships/hyperlink" Target="https://www.statista.com/statistics/1620734/adoption-of-pricing-models-for-agentic-ai-tools/" TargetMode="External" Id="rId1"/><Relationship Type="http://schemas.openxmlformats.org/officeDocument/2006/relationships/drawing" Target="/xl/drawings/drawing22.xml" Id="rId2"/></Relationships>
</file>

<file path=xl/worksheets/_rels/sheet28.xml.rels><Relationships xmlns="http://schemas.openxmlformats.org/package/2006/relationships"><Relationship Type="http://schemas.openxmlformats.org/officeDocument/2006/relationships/hyperlink" Target="https://www.statista.com/statistics/1482387/ai-impact-on-hourly-rates-based-pricing-global/" TargetMode="External" Id="rId1"/><Relationship Type="http://schemas.openxmlformats.org/officeDocument/2006/relationships/drawing" Target="/xl/drawings/drawing23.xml" Id="rId2"/></Relationships>
</file>

<file path=xl/worksheets/_rels/sheet29.xml.rels><Relationships xmlns="http://schemas.openxmlformats.org/package/2006/relationships"><Relationship Type="http://schemas.openxmlformats.org/officeDocument/2006/relationships/hyperlink" Target="https://www.statista.com/statistics/1378626/growth-of-labor-productivity-ai-adoption-2023/" TargetMode="External" Id="rId1"/><Relationship Type="http://schemas.openxmlformats.org/officeDocument/2006/relationships/drawing" Target="/xl/drawings/drawing24.xml" Id="rId2"/></Relationships>
</file>

<file path=xl/worksheets/_rels/sheet30.xml.rels><Relationships xmlns="http://schemas.openxmlformats.org/package/2006/relationships"><Relationship Type="http://schemas.openxmlformats.org/officeDocument/2006/relationships/hyperlink" Target="https://www.statista.com/statistics/1610445/functional-impact-of-generative-ai-worldwide/" TargetMode="External" Id="rId1"/><Relationship Type="http://schemas.openxmlformats.org/officeDocument/2006/relationships/hyperlink" Target="https://www.statista.com/research-ai/chat/019e1f8f-6f89-7813-9686-730f97cc93af" TargetMode="External" Id="rId2"/></Relationships>
</file>

<file path=xl/worksheets/_rels/sheet31.xml.rels><Relationships xmlns="http://schemas.openxmlformats.org/package/2006/relationships"><Relationship Type="http://schemas.openxmlformats.org/officeDocument/2006/relationships/hyperlink" Target="https://www.statista.com/statistics/1558899/working-hours-impacted-generative-ai-finance/" TargetMode="External" Id="rId1"/><Relationship Type="http://schemas.openxmlformats.org/officeDocument/2006/relationships/hyperlink" Target="https://www.accenture.com/us-en/insights/financial-services/generative-ai-financial-services" TargetMode="External" Id="rId2"/></Relationships>
</file>

<file path=xl/worksheets/_rels/sheet32.xml.rels><Relationships xmlns="http://schemas.openxmlformats.org/package/2006/relationships"><Relationship Type="http://schemas.openxmlformats.org/officeDocument/2006/relationships/hyperlink" Target="https://www.statista.com/statistics/1617474/ai-fintech-impact-on-profitability/" TargetMode="External" Id="rId1"/></Relationships>
</file>

<file path=xl/worksheets/_rels/sheet33.xml.rels><Relationships xmlns="http://schemas.openxmlformats.org/package/2006/relationships"><Relationship Type="http://schemas.openxmlformats.org/officeDocument/2006/relationships/hyperlink" Target="https://arxiv.org/abs/2302.06590" TargetMode="External" Id="rId1"/><Relationship Type="http://schemas.openxmlformats.org/officeDocument/2006/relationships/hyperlink" Target="https://github.blog/news-insights/research/research-quantifying-github-copilots-impact-on-developer-productivity-and-happiness/" TargetMode="External" Id="rId2"/><Relationship Type="http://schemas.openxmlformats.org/officeDocument/2006/relationships/hyperlink" Target="https://metr.org/blog/2025-07-10-early-2025-ai-experienced-os-dev-study/" TargetMode="External" Id="rId3"/><Relationship Type="http://schemas.openxmlformats.org/officeDocument/2006/relationships/hyperlink" Target="https://thenewstack.io/how-ai-coding-makes-developers-56-faster-and-19-slower/" TargetMode="External" Id="rId4"/><Relationship Type="http://schemas.openxmlformats.org/officeDocument/2006/relationships/hyperlink" Target="https://newsletter.getdx.com/p/metr-study-on-how-ai-affects-developer-productivity" TargetMode="External" Id="rId5"/><Relationship Type="http://schemas.openxmlformats.org/officeDocument/2006/relationships/drawing" Target="/xl/drawings/drawing25.xml" Id="rId6"/></Relationships>
</file>

<file path=xl/worksheets/_rels/sheet34.xml.rels><Relationships xmlns="http://schemas.openxmlformats.org/package/2006/relationships"><Relationship Type="http://schemas.openxmlformats.org/officeDocument/2006/relationships/hyperlink" Target="https://www.nber.org/papers/w31161" TargetMode="External" Id="rId1"/><Relationship Type="http://schemas.openxmlformats.org/officeDocument/2006/relationships/hyperlink" Target="https://academic.oup.com/qje/article/140/2/889/7990658" TargetMode="External" Id="rId2"/><Relationship Type="http://schemas.openxmlformats.org/officeDocument/2006/relationships/hyperlink" Target="https://www.entrepreneur.com/business-news/klarna-ceo-reverses-course-by-hiring-more-humans-not-ai/491396" TargetMode="External" Id="rId3"/><Relationship Type="http://schemas.openxmlformats.org/officeDocument/2006/relationships/hyperlink" Target="https://futurism.com/klarna-openai-humans-ai-back" TargetMode="External" Id="rId4"/><Relationship Type="http://schemas.openxmlformats.org/officeDocument/2006/relationships/hyperlink" Target="https://fortune.com/2025/09/02/salesforce-ceo-billionaire-marc-benioff-ai-agents-jobs-layoffs-customer-service-sales/" TargetMode="External" Id="rId5"/><Relationship Type="http://schemas.openxmlformats.org/officeDocument/2006/relationships/drawing" Target="/xl/drawings/drawing26.xml" Id="rId6"/></Relationships>
</file>

<file path=xl/worksheets/_rels/sheet35.xml.rels><Relationships xmlns="http://schemas.openxmlformats.org/package/2006/relationships"><Relationship Type="http://schemas.openxmlformats.org/officeDocument/2006/relationships/hyperlink" Target="https://www.science.org/doi/10.1126/science.adh2586" TargetMode="External" Id="rId1"/><Relationship Type="http://schemas.openxmlformats.org/officeDocument/2006/relationships/hyperlink" Target="https://news.mit.edu/2023/study-finds-chatgpt-boosts-worker-productivity-writing-0714" TargetMode="External" Id="rId2"/><Relationship Type="http://schemas.openxmlformats.org/officeDocument/2006/relationships/hyperlink" Target="https://www.mckinsey.com/capabilities/quantumblack/our-insights/the-state-of-ai" TargetMode="External" Id="rId3"/><Relationship Type="http://schemas.openxmlformats.org/officeDocument/2006/relationships/drawing" Target="/xl/drawings/drawing27.xml" Id="rId4"/></Relationships>
</file>

<file path=xl/worksheets/_rels/sheet36.xml.rels><Relationships xmlns="http://schemas.openxmlformats.org/package/2006/relationships"><Relationship Type="http://schemas.openxmlformats.org/officeDocument/2006/relationships/hyperlink" Target="https://www.hbs.edu/ris/Publication%20Files/24-013_d9b45b68-9e74-42d6-a1c6-c72fb70c7282.pdf" TargetMode="External" Id="rId1"/><Relationship Type="http://schemas.openxmlformats.org/officeDocument/2006/relationships/hyperlink" Target="https://www.hbs.edu/faculty/Pages/item.aspx?num=64700" TargetMode="External" Id="rId2"/><Relationship Type="http://schemas.openxmlformats.org/officeDocument/2006/relationships/hyperlink" Target="https://www.thecrimson.com/article/2023/10/13/jagged-edge-ai-bcg/" TargetMode="External" Id="rId3"/><Relationship Type="http://schemas.openxmlformats.org/officeDocument/2006/relationships/hyperlink" Target="https://papers.ssrn.com/sol3/papers.cfm?abstract_id=4573321" TargetMode="External" Id="rId4"/><Relationship Type="http://schemas.openxmlformats.org/officeDocument/2006/relationships/drawing" Target="/xl/drawings/drawing28.xml" Id="rId5"/></Relationships>
</file>

<file path=xl/worksheets/_rels/sheet37.xml.rels><Relationships xmlns="http://schemas.openxmlformats.org/package/2006/relationships"><Relationship Type="http://schemas.openxmlformats.org/officeDocument/2006/relationships/hyperlink" Target="https://www.bain.com/insights/ai-transforming-productivity-sales-remains-new-frontier-technology-report-2025/" TargetMode="External" Id="rId1"/><Relationship Type="http://schemas.openxmlformats.org/officeDocument/2006/relationships/hyperlink" Target="https://blog.hubspot.com/sales/generative-ai-in-sales" TargetMode="External" Id="rId2"/><Relationship Type="http://schemas.openxmlformats.org/officeDocument/2006/relationships/drawing" Target="/xl/drawings/drawing29.xml" Id="rId3"/></Relationships>
</file>

<file path=xl/worksheets/_rels/sheet38.xml.rels><Relationships xmlns="http://schemas.openxmlformats.org/package/2006/relationships"><Relationship Type="http://schemas.openxmlformats.org/officeDocument/2006/relationships/hyperlink" Target="https://papers.ssrn.com/sol3/papers.cfm?abstract_id=4539836" TargetMode="External" Id="rId1"/><Relationship Type="http://schemas.openxmlformats.org/officeDocument/2006/relationships/hyperlink" Target="https://ssrn.com/abstract=4626276" TargetMode="External" Id="rId2"/><Relationship Type="http://schemas.openxmlformats.org/officeDocument/2006/relationships/hyperlink" Target="https://papers.ssrn.com/sol3/papers.cfm?abstract_id=4335905" TargetMode="External" Id="rId3"/><Relationship Type="http://schemas.openxmlformats.org/officeDocument/2006/relationships/hyperlink" Target="https://www.abajournal.com/news/article/jpmorgan_chase_uses_tech_to_save_360000_hours_of_annual_work_by_lawyers_and" TargetMode="External" Id="rId4"/><Relationship Type="http://schemas.openxmlformats.org/officeDocument/2006/relationships/drawing" Target="/xl/drawings/drawing30.xml" Id="rId5"/></Relationships>
</file>

<file path=xl/worksheets/_rels/sheet39.xml.rels><Relationships xmlns="http://schemas.openxmlformats.org/package/2006/relationships"><Relationship Type="http://schemas.openxmlformats.org/officeDocument/2006/relationships/hyperlink" Target="https://www.ama-assn.org/practice-management/digital-health/ai-scribes-save-15000-hours-and-restore-human-side-medicine" TargetMode="External" Id="rId1"/><Relationship Type="http://schemas.openxmlformats.org/officeDocument/2006/relationships/hyperlink" Target="https://jamanetwork.com/journals/jamanetworkopen/fullarticle/2839542" TargetMode="External" Id="rId2"/><Relationship Type="http://schemas.openxmlformats.org/officeDocument/2006/relationships/hyperlink" Target="https://www.statnews.com/2026/04/01/ai-ambient-scribes-modest-time-savings-clinical-documentation/" TargetMode="External" Id="rId3"/><Relationship Type="http://schemas.openxmlformats.org/officeDocument/2006/relationships/hyperlink" Target="https://www.mckinsey.com/industries/healthcare/our-insights/generative-ai-in-healthcare-current-trends-and-future-outlook" TargetMode="External" Id="rId4"/><Relationship Type="http://schemas.openxmlformats.org/officeDocument/2006/relationships/drawing" Target="/xl/drawings/drawing31.xml" Id="rId5"/></Relationships>
</file>

<file path=xl/worksheets/_rels/sheet40.xml.rels><Relationships xmlns="http://schemas.openxmlformats.org/package/2006/relationships"><Relationship Type="http://schemas.openxmlformats.org/officeDocument/2006/relationships/hyperlink" Target="https://www.entrepreneur.com/business-news/ibm-ceo-ai-replaced-hundreds-of-human-resources-staff/491341" TargetMode="External" Id="rId1"/><Relationship Type="http://schemas.openxmlformats.org/officeDocument/2006/relationships/hyperlink" Target="https://aicommission.org/2025/05/our-total-employment-has-gone-up-what-ibm-ceo-arvind-krishna-says-on-ai-replacing-several-hundred-jobs/" TargetMode="External" Id="rId2"/><Relationship Type="http://schemas.openxmlformats.org/officeDocument/2006/relationships/hyperlink" Target="https://mlq.ai/media/quarterly_decks/v0.1_State_of_AI_in_Business_2025_Report.pdf" TargetMode="External" Id="rId3"/><Relationship Type="http://schemas.openxmlformats.org/officeDocument/2006/relationships/hyperlink" Target="https://www.mckinsey.com/industries/healthcare/our-insights/agentic-ai-and-the-race-to-a-touchless-revenue-cycle" TargetMode="External" Id="rId4"/><Relationship Type="http://schemas.openxmlformats.org/officeDocument/2006/relationships/drawing" Target="/xl/drawings/drawing32.xml" Id="rId5"/></Relationships>
</file>

<file path=xl/worksheets/_rels/sheet41.xml.rels><Relationships xmlns="http://schemas.openxmlformats.org/package/2006/relationships"><Relationship Type="http://schemas.openxmlformats.org/officeDocument/2006/relationships/hyperlink" Target="https://www.mckinsey.com/capabilities/operations/our-insights/how-manufacturings-lighthouses-are-capturing-the-full-value-of-ai" TargetMode="External" Id="rId1"/><Relationship Type="http://schemas.openxmlformats.org/officeDocument/2006/relationships/hyperlink" Target="https://www.mckinsey.com/capabilities/operations/our-insights/from-pilots-to-performance-how-coos-can-scale-ai-in-manufacturing" TargetMode="External" Id="rId2"/><Relationship Type="http://schemas.openxmlformats.org/officeDocument/2006/relationships/drawing" Target="/xl/drawings/drawing33.xml" Id="rId3"/></Relationships>
</file>

<file path=xl/worksheets/_rels/sheet42.xml.rels><Relationships xmlns="http://schemas.openxmlformats.org/package/2006/relationships"><Relationship Type="http://schemas.openxmlformats.org/officeDocument/2006/relationships/hyperlink" Target="https://link.springer.com/article/10.1007/s43995-025-00193-2" TargetMode="External" Id="rId1"/><Relationship Type="http://schemas.openxmlformats.org/officeDocument/2006/relationships/hyperlink" Target="https://www.mdpi.com/2076-3417/15/23/12470" TargetMode="External" Id="rId2"/><Relationship Type="http://schemas.openxmlformats.org/officeDocument/2006/relationships/hyperlink" Target="https://www.autodesk.com/blogs/construction/top-2025-ai-construction-trends-according-to-the-experts/" TargetMode="External" Id="rId3"/><Relationship Type="http://schemas.openxmlformats.org/officeDocument/2006/relationships/drawing" Target="/xl/drawings/drawing34.xml" Id="rId4"/></Relationships>
</file>

<file path=xl/worksheets/_rels/sheet43.xml.rels><Relationships xmlns="http://schemas.openxmlformats.org/package/2006/relationships"><Relationship Type="http://schemas.openxmlformats.org/officeDocument/2006/relationships/hyperlink" Target="https://blog.khanacademy.org/how-khan-academy-is-building-a-better-ai-tutor-our-most-recent-learnings/" TargetMode="External" Id="rId1"/><Relationship Type="http://schemas.openxmlformats.org/officeDocument/2006/relationships/hyperlink" Target="https://www.povertyactionlab.org/initiative-project/ai-powered-tutoring-unleashing-full-potential-personalized-learning-khanmigo" TargetMode="External" Id="rId2"/><Relationship Type="http://schemas.openxmlformats.org/officeDocument/2006/relationships/drawing" Target="/xl/drawings/drawing35.xml" Id="rId3"/></Relationships>
</file>

<file path=xl/worksheets/_rels/sheet44.xml.rels><Relationships xmlns="http://schemas.openxmlformats.org/package/2006/relationships"><Relationship Type="http://schemas.openxmlformats.org/officeDocument/2006/relationships/hyperlink" Target="https://www.deloitte.com/us/en/insights/industry/government-public-sector-services/government-trends/2025/ai-public-services-enhancement.html" TargetMode="External" Id="rId1"/><Relationship Type="http://schemas.openxmlformats.org/officeDocument/2006/relationships/hyperlink" Target="https://www.deloitte.com/us/en/insights/industry/government-public-sector-services/government-trends/2025/scaling-ai-in-government.html" TargetMode="External" Id="rId2"/><Relationship Type="http://schemas.openxmlformats.org/officeDocument/2006/relationships/hyperlink" Target="https://www.deloitte.com/us/en/Industries/government-public/articles/ai-in-federal-government.html" TargetMode="External" Id="rId3"/><Relationship Type="http://schemas.openxmlformats.org/officeDocument/2006/relationships/drawing" Target="/xl/drawings/drawing36.xml" Id="rId4"/></Relationships>
</file>

<file path=xl/worksheets/_rels/sheet45.xml.rels><Relationships xmlns="http://schemas.openxmlformats.org/package/2006/relationships"><Relationship Type="http://schemas.openxmlformats.org/officeDocument/2006/relationships/hyperlink" Target="https://fortune.com/2025/09/02/salesforce-ceo-billionaire-marc-benioff-ai-agents-jobs-layoffs-customer-service-sales/" TargetMode="External" Id="rId1"/><Relationship Type="http://schemas.openxmlformats.org/officeDocument/2006/relationships/hyperlink" Target="https://www.cnbc.com/2025/09/02/salesforce-ceo-confirms-4000-layoffs-because-i-need-less-heads-with-ai.html" TargetMode="External" Id="rId2"/><Relationship Type="http://schemas.openxmlformats.org/officeDocument/2006/relationships/hyperlink" Target="https://www.wipfli.com/insights/articles/salesforce-failed-to-replace-thousands-of-workers-with-ai-what-can-your-business-learn" TargetMode="External" Id="rId3"/><Relationship Type="http://schemas.openxmlformats.org/officeDocument/2006/relationships/hyperlink" Target="https://the420.in/salesforce-4000-layoffs-ai-overconfidence-exec-admission/" TargetMode="External" Id="rId4"/><Relationship Type="http://schemas.openxmlformats.org/officeDocument/2006/relationships/hyperlink" Target="https://www.salesforceben.com/ai-agents-drive-4000-job-cuts-in-salesforce-support-division/" TargetMode="External" Id="rId5"/><Relationship Type="http://schemas.openxmlformats.org/officeDocument/2006/relationships/drawing" Target="/xl/drawings/drawing37.xml" Id="rId6"/></Relationships>
</file>

<file path=xl/worksheets/_rels/sheet46.xml.rels><Relationships xmlns="http://schemas.openxmlformats.org/package/2006/relationships"><Relationship Type="http://schemas.openxmlformats.org/officeDocument/2006/relationships/hyperlink" Target="https://www.entrepreneur.com/business-news/klarna-ceo-reverses-course-by-hiring-more-humans-not-ai/491396" TargetMode="External" Id="rId1"/><Relationship Type="http://schemas.openxmlformats.org/officeDocument/2006/relationships/hyperlink" Target="https://futurism.com/klarna-openai-humans-ai-back" TargetMode="External" Id="rId2"/><Relationship Type="http://schemas.openxmlformats.org/officeDocument/2006/relationships/hyperlink" Target="https://mlq.ai/news/klarna-ceo-admits-aggressive-ai-job-cuts-went-too-far-starts-hiring-again-after-us-ipo/" TargetMode="External" Id="rId3"/><Relationship Type="http://schemas.openxmlformats.org/officeDocument/2006/relationships/hyperlink" Target="https://www.fintechweekly.com/magazine/articles/klarna-hires-customer-service-after-ai-pivot" TargetMode="External" Id="rId4"/><Relationship Type="http://schemas.openxmlformats.org/officeDocument/2006/relationships/drawing" Target="/xl/drawings/drawing38.xml" Id="rId5"/></Relationships>
</file>

<file path=xl/worksheets/_rels/sheet47.xml.rels><Relationships xmlns="http://schemas.openxmlformats.org/package/2006/relationships"><Relationship Type="http://schemas.openxmlformats.org/officeDocument/2006/relationships/hyperlink" Target="https://www.entrepreneur.com/business-news/ibm-ceo-ai-replaced-hundreds-of-human-resources-staff/491341" TargetMode="External" Id="rId1"/><Relationship Type="http://schemas.openxmlformats.org/officeDocument/2006/relationships/hyperlink" Target="https://aicommission.org/2025/05/our-total-employment-has-gone-up-what-ibm-ceo-arvind-krishna-says-on-ai-replacing-several-hundred-jobs/" TargetMode="External" Id="rId2"/><Relationship Type="http://schemas.openxmlformats.org/officeDocument/2006/relationships/hyperlink" Target="https://www.pymnts.com/artificial-intelligence-2/2025/ibm-ceo-hr-layoffs-due-to-ai-led-to-more-investment-in-other-roles/" TargetMode="External" Id="rId3"/><Relationship Type="http://schemas.openxmlformats.org/officeDocument/2006/relationships/hyperlink" Target="https://iscale-solutions.com/ibm-layoffs/" TargetMode="External" Id="rId4"/><Relationship Type="http://schemas.openxmlformats.org/officeDocument/2006/relationships/drawing" Target="/xl/drawings/drawing39.xml" Id="rId5"/></Relationships>
</file>

<file path=xl/worksheets/_rels/sheet48.xml.rels><Relationships xmlns="http://schemas.openxmlformats.org/package/2006/relationships"><Relationship Type="http://schemas.openxmlformats.org/officeDocument/2006/relationships/hyperlink" Target="https://fortune.com/2025/08/18/duolingo-ceo-admits-controversial-ai-memo-did-not-give-enough-context-insists-company-never-laid-off-full-time-employees/" TargetMode="External" Id="rId1"/><Relationship Type="http://schemas.openxmlformats.org/officeDocument/2006/relationships/hyperlink" Target="https://www.cnbc.com/2025/09/17/duolingo-ceo-how-ai-makes-my-employees-more-productive-without-layoffs.html" TargetMode="External" Id="rId2"/><Relationship Type="http://schemas.openxmlformats.org/officeDocument/2006/relationships/hyperlink" Target="https://techcrunch.com/2025/05/04/is-duolingo-the-face-of-an-ai-jobs-crisis/" TargetMode="External" Id="rId3"/></Relationships>
</file>

<file path=xl/worksheets/_rels/sheet49.xml.rels><Relationships xmlns="http://schemas.openxmlformats.org/package/2006/relationships"><Relationship Type="http://schemas.openxmlformats.org/officeDocument/2006/relationships/hyperlink" Target="https://suprmind.ai/hub/ai-hallucination-rates-and-benchmarks/" TargetMode="External" Id="rId1"/><Relationship Type="http://schemas.openxmlformats.org/officeDocument/2006/relationships/hyperlink" Target="https://www.getmaxim.ai/articles/the-state-of-ai-hallucinations-in-2025-challenges-solutions-and-the-maxim-ai-advantage/" TargetMode="External" Id="rId2"/><Relationship Type="http://schemas.openxmlformats.org/officeDocument/2006/relationships/hyperlink" Target="https://news.ycombinator.com/item?id=46384781" TargetMode="External" Id="rId3"/><Relationship Type="http://schemas.openxmlformats.org/officeDocument/2006/relationships/drawing" Target="/xl/drawings/drawing40.xml" Id="rId4"/></Relationships>
</file>

<file path=xl/worksheets/_rels/sheet51.xml.rels><Relationships xmlns="http://schemas.openxmlformats.org/package/2006/relationships"><Relationship Type="http://schemas.openxmlformats.org/officeDocument/2006/relationships/hyperlink" Target="https://www.microsoft.com/en-us/worklab/work-trend-index/breaking-down-infinite-workday" TargetMode="External" Id="rId1"/><Relationship Type="http://schemas.openxmlformats.org/officeDocument/2006/relationships/hyperlink" Target="https://mlq.ai/media/quarterly_decks/v0.1_State_of_AI_in_Business_2025_Report.pdf" TargetMode="External" Id="rId2"/><Relationship Type="http://schemas.openxmlformats.org/officeDocument/2006/relationships/hyperlink" Target="https://www.gartner.com/en/newsroom/press-releases/2025-03-25-gartner-says-cfos-should-reset-expectations-about-ais-impact-on-workforce-productivity-and-headcount" TargetMode="External" Id="rId3"/><Relationship Type="http://schemas.openxmlformats.org/officeDocument/2006/relationships/hyperlink" Target="https://www.hbs.edu/ris/Publication%20Files/24-013_d9b45b68-9e74-42d6-a1c6-c72fb70c7282.pdf" TargetMode="External" Id="rId4"/></Relationships>
</file>

<file path=xl/worksheets/_rels/sheet52.xml.rels><Relationships xmlns="http://schemas.openxmlformats.org/package/2006/relationships"><Relationship Type="http://schemas.openxmlformats.org/officeDocument/2006/relationships/hyperlink" Target="https://www.bvp.com/atlas/the-ai-pricing-and-monetization-playbook" TargetMode="External" Id="rId1"/><Relationship Type="http://schemas.openxmlformats.org/officeDocument/2006/relationships/hyperlink" Target="https://roi-selling.com/blog/aligning-buying-committees-from-conflicting-priorities-to-shared-framework-2-2-2-2-2-2" TargetMode="External" Id="rId2"/></Relationships>
</file>

<file path=xl/worksheets/_rels/sheet53.xml.rels><Relationships xmlns="http://schemas.openxmlformats.org/package/2006/relationships"><Relationship Type="http://schemas.openxmlformats.org/officeDocument/2006/relationships/hyperlink" Target="https://hai.stanford.edu/assets/files/hai_ai-index-report-2025_chapter4_final.pdf" TargetMode="External" Id="rId1"/><Relationship Type="http://schemas.openxmlformats.org/officeDocument/2006/relationships/hyperlink" Target="https://hai.stanford.edu/ai-index/2025-ai-index-report" TargetMode="External" Id="rId2"/><Relationship Type="http://schemas.openxmlformats.org/officeDocument/2006/relationships/hyperlink" Target="https://www.mckinsey.com/capabilities/tech-and-ai/our-insights/the-economic-potential-of-generative-ai-the-next-productivity-frontier" TargetMode="External" Id="rId3"/><Relationship Type="http://schemas.openxmlformats.org/officeDocument/2006/relationships/hyperlink" Target="https://www.mckinsey.com/~/media/mckinsey/business%20functions/quantumblack/our%20insights/the%20state%20of%20ai/november%202025/the-state-of-ai-2025-agents-innovation_cmyk-v1.pdf" TargetMode="External" Id="rId4"/><Relationship Type="http://schemas.openxmlformats.org/officeDocument/2006/relationships/hyperlink" Target="https://www.mckinsey.com/capabilities/quantumblack/our-insights/the-state-of-ai-2024" TargetMode="External" Id="rId5"/><Relationship Type="http://schemas.openxmlformats.org/officeDocument/2006/relationships/hyperlink" Target="https://www.mckinsey.com/industries/healthcare/our-insights/generative-ai-in-healthcare-current-trends-and-future-outlook" TargetMode="External" Id="rId6"/><Relationship Type="http://schemas.openxmlformats.org/officeDocument/2006/relationships/hyperlink" Target="https://www.mckinsey.com/capabilities/operations/our-insights/how-manufacturings-lighthouses-are-capturing-the-full-value-of-ai" TargetMode="External" Id="rId7"/><Relationship Type="http://schemas.openxmlformats.org/officeDocument/2006/relationships/hyperlink" Target="https://www.mckinsey.com/capabilities/operations/our-insights/from-pilots-to-performance-how-coos-can-scale-ai-in-manufacturing" TargetMode="External" Id="rId8"/><Relationship Type="http://schemas.openxmlformats.org/officeDocument/2006/relationships/hyperlink" Target="https://mlq.ai/media/quarterly_decks/v0.1_State_of_AI_in_Business_2025_Report.pdf" TargetMode="External" Id="rId9"/><Relationship Type="http://schemas.openxmlformats.org/officeDocument/2006/relationships/hyperlink" Target="https://fortune.com/2025/08/18/mit-report-95-percent-generative-ai-pilots-at-companies-failing-cfo/" TargetMode="External" Id="rId10"/><Relationship Type="http://schemas.openxmlformats.org/officeDocument/2006/relationships/hyperlink" Target="https://economics.mit.edu/sites/default/files/2024-04/The%20Simple%20Macroeconomics%20of%20AI.pdf" TargetMode="External" Id="rId11"/><Relationship Type="http://schemas.openxmlformats.org/officeDocument/2006/relationships/hyperlink" Target="https://www.nber.org/papers/w32487" TargetMode="External" Id="rId12"/><Relationship Type="http://schemas.openxmlformats.org/officeDocument/2006/relationships/hyperlink" Target="https://www.goldmansachs.com/insights/articles/generative-ai-could-raise-global-gdp-by-7-percent" TargetMode="External" Id="rId13"/><Relationship Type="http://schemas.openxmlformats.org/officeDocument/2006/relationships/hyperlink" Target="https://www.gspublishing.com/content/research/en/reports/2023/03/27/d64e052b-0f6e-45d7-967b-d7be35fabd16.pdf" TargetMode="External" Id="rId14"/><Relationship Type="http://schemas.openxmlformats.org/officeDocument/2006/relationships/hyperlink" Target="https://www.tomshardware.com/tech-industry/artificial-intelligence/ai-boosted-us-economy-by-basically-zero-in-2025-says-goldman-sachs-chief-economist-we-think-theres-been-a-lot-of-misreporting-of-the-impact-that-ai-investment-had-on-gdp-growth" TargetMode="External" Id="rId15"/><Relationship Type="http://schemas.openxmlformats.org/officeDocument/2006/relationships/hyperlink" Target="https://www.pwc.com/gx/en/services/ai/ai-jobs-barometer.html" TargetMode="External" Id="rId16"/><Relationship Type="http://schemas.openxmlformats.org/officeDocument/2006/relationships/hyperlink" Target="https://www.pwc.com/gx/en/news-room/press-releases/2025/ai-linked-to-a-fourfold-increase-in-productivity-growth.html" TargetMode="External" Id="rId17"/><Relationship Type="http://schemas.openxmlformats.org/officeDocument/2006/relationships/hyperlink" Target="https://www.science.org/doi/10.1126/science.adh2586" TargetMode="External" Id="rId18"/><Relationship Type="http://schemas.openxmlformats.org/officeDocument/2006/relationships/hyperlink" Target="https://news.mit.edu/2023/study-finds-chatgpt-boosts-worker-productivity-writing-0714" TargetMode="External" Id="rId19"/><Relationship Type="http://schemas.openxmlformats.org/officeDocument/2006/relationships/hyperlink" Target="https://www.nber.org/papers/w31161" TargetMode="External" Id="rId20"/><Relationship Type="http://schemas.openxmlformats.org/officeDocument/2006/relationships/hyperlink" Target="https://academic.oup.com/qje/article/140/2/889/7990658" TargetMode="External" Id="rId21"/><Relationship Type="http://schemas.openxmlformats.org/officeDocument/2006/relationships/hyperlink" Target="https://www.hbs.edu/ris/Publication%20Files/24-013_d9b45b68-9e74-42d6-a1c6-c72fb70c7282.pdf" TargetMode="External" Id="rId22"/><Relationship Type="http://schemas.openxmlformats.org/officeDocument/2006/relationships/hyperlink" Target="https://www.hbs.edu/faculty/Pages/item.aspx?num=64700" TargetMode="External" Id="rId23"/><Relationship Type="http://schemas.openxmlformats.org/officeDocument/2006/relationships/hyperlink" Target="https://arxiv.org/abs/2302.06590" TargetMode="External" Id="rId24"/><Relationship Type="http://schemas.openxmlformats.org/officeDocument/2006/relationships/hyperlink" Target="https://github.blog/news-insights/research/research-quantifying-github-copilots-impact-on-developer-productivity-and-happiness/" TargetMode="External" Id="rId25"/><Relationship Type="http://schemas.openxmlformats.org/officeDocument/2006/relationships/hyperlink" Target="https://metr.org/blog/2025-07-10-early-2025-ai-experienced-os-dev-study/" TargetMode="External" Id="rId26"/><Relationship Type="http://schemas.openxmlformats.org/officeDocument/2006/relationships/hyperlink" Target="https://arxiv.org/abs/2507.09089" TargetMode="External" Id="rId27"/><Relationship Type="http://schemas.openxmlformats.org/officeDocument/2006/relationships/hyperlink" Target="https://www.bcg.com/publications/2025/ai-at-work-momentum-builds-but-gaps-remain" TargetMode="External" Id="rId28"/><Relationship Type="http://schemas.openxmlformats.org/officeDocument/2006/relationships/hyperlink" Target="https://web-assets.bcg.com/fd/0d/bcc5dfae4cbaa08c718b95b16cf5/ai-at-work-2025-slideshow-june-2025-edit-02.pdf" TargetMode="External" Id="rId29"/><Relationship Type="http://schemas.openxmlformats.org/officeDocument/2006/relationships/hyperlink" Target="https://www.microsoft.com/en-us/worklab/work-trend-index/ai-at-work-is-here-now-comes-the-hard-part" TargetMode="External" Id="rId30"/><Relationship Type="http://schemas.openxmlformats.org/officeDocument/2006/relationships/hyperlink" Target="https://www.microsoft.com/en-us/worklab/work-trend-index/breaking-down-infinite-workday" TargetMode="External" Id="rId31"/><Relationship Type="http://schemas.openxmlformats.org/officeDocument/2006/relationships/hyperlink" Target="https://www.census.gov/library/working-papers/2024/adrm/CES-WP-24-16.html" TargetMode="External" Id="rId32"/><Relationship Type="http://schemas.openxmlformats.org/officeDocument/2006/relationships/hyperlink" Target="https://www.federalreserve.gov/econres/notes/feds-notes/monitoring-ai-adoption-in-the-u-s-economy-20260403.html" TargetMode="External" Id="rId33"/><Relationship Type="http://schemas.openxmlformats.org/officeDocument/2006/relationships/hyperlink" Target="https://www.rand.org/pubs/research_reports/RRA2680-1.html" TargetMode="External" Id="rId34"/><Relationship Type="http://schemas.openxmlformats.org/officeDocument/2006/relationships/hyperlink" Target="https://fortune.com/2025/09/02/salesforce-ceo-billionaire-marc-benioff-ai-agents-jobs-layoffs-customer-service-sales/" TargetMode="External" Id="rId35"/><Relationship Type="http://schemas.openxmlformats.org/officeDocument/2006/relationships/hyperlink" Target="https://www.cnbc.com/2025/09/02/salesforce-ceo-confirms-4000-layoffs-because-i-need-less-heads-with-ai.html" TargetMode="External" Id="rId36"/><Relationship Type="http://schemas.openxmlformats.org/officeDocument/2006/relationships/hyperlink" Target="https://www.wipfli.com/insights/articles/salesforce-failed-to-replace-thousands-of-workers-with-ai-what-can-your-business-learn" TargetMode="External" Id="rId37"/><Relationship Type="http://schemas.openxmlformats.org/officeDocument/2006/relationships/hyperlink" Target="https://the420.in/salesforce-4000-layoffs-ai-overconfidence-exec-admission/" TargetMode="External" Id="rId38"/><Relationship Type="http://schemas.openxmlformats.org/officeDocument/2006/relationships/hyperlink" Target="https://www.entrepreneur.com/business-news/klarna-ceo-reverses-course-by-hiring-more-humans-not-ai/491396" TargetMode="External" Id="rId39"/><Relationship Type="http://schemas.openxmlformats.org/officeDocument/2006/relationships/hyperlink" Target="https://futurism.com/klarna-openai-humans-ai-back" TargetMode="External" Id="rId40"/><Relationship Type="http://schemas.openxmlformats.org/officeDocument/2006/relationships/hyperlink" Target="https://www.fintechweekly.com/magazine/articles/klarna-hires-customer-service-after-ai-pivot" TargetMode="External" Id="rId41"/><Relationship Type="http://schemas.openxmlformats.org/officeDocument/2006/relationships/hyperlink" Target="https://www.entrepreneur.com/business-news/ibm-ceo-ai-replaced-hundreds-of-human-resources-staff/491341" TargetMode="External" Id="rId42"/><Relationship Type="http://schemas.openxmlformats.org/officeDocument/2006/relationships/hyperlink" Target="https://aicommission.org/2025/05/our-total-employment-has-gone-up-what-ibm-ceo-arvind-krishna-says-on-ai-replacing-several-hundred-jobs/" TargetMode="External" Id="rId43"/><Relationship Type="http://schemas.openxmlformats.org/officeDocument/2006/relationships/hyperlink" Target="https://fortune.com/2025/08/18/duolingo-ceo-admits-controversial-ai-memo-did-not-give-enough-context-insists-company-never-laid-off-full-time-employees/" TargetMode="External" Id="rId44"/><Relationship Type="http://schemas.openxmlformats.org/officeDocument/2006/relationships/hyperlink" Target="https://www.cnbc.com/2025/09/17/duolingo-ceo-how-ai-makes-my-employees-more-productive-without-layoffs.html" TargetMode="External" Id="rId45"/><Relationship Type="http://schemas.openxmlformats.org/officeDocument/2006/relationships/hyperlink" Target="https://papers.ssrn.com/sol3/papers.cfm?abstract_id=4539836" TargetMode="External" Id="rId46"/><Relationship Type="http://schemas.openxmlformats.org/officeDocument/2006/relationships/hyperlink" Target="https://ssrn.com/abstract=4626276" TargetMode="External" Id="rId47"/><Relationship Type="http://schemas.openxmlformats.org/officeDocument/2006/relationships/hyperlink" Target="https://papers.ssrn.com/sol3/papers.cfm?abstract_id=4335905" TargetMode="External" Id="rId48"/><Relationship Type="http://schemas.openxmlformats.org/officeDocument/2006/relationships/hyperlink" Target="https://www.abajournal.com/news/article/jpmorgan_chase_uses_tech_to_save_360000_hours_of_annual_work_by_lawyers_and" TargetMode="External" Id="rId49"/><Relationship Type="http://schemas.openxmlformats.org/officeDocument/2006/relationships/hyperlink" Target="https://www.ama-assn.org/practice-management/digital-health/ai-scribes-save-15000-hours-and-restore-human-side-medicine" TargetMode="External" Id="rId50"/><Relationship Type="http://schemas.openxmlformats.org/officeDocument/2006/relationships/hyperlink" Target="https://jamanetwork.com/journals/jamanetworkopen/fullarticle/2839542" TargetMode="External" Id="rId51"/><Relationship Type="http://schemas.openxmlformats.org/officeDocument/2006/relationships/hyperlink" Target="https://www.uclahealth.org/news/release/ucla-study-finds-ai-scribes-may-reduce-documentation-time" TargetMode="External" Id="rId52"/><Relationship Type="http://schemas.openxmlformats.org/officeDocument/2006/relationships/hyperlink" Target="https://www.statnews.com/2026/04/01/ai-ambient-scribes-modest-time-savings-clinical-documentation/" TargetMode="External" Id="rId53"/><Relationship Type="http://schemas.openxmlformats.org/officeDocument/2006/relationships/hyperlink" Target="https://link.springer.com/article/10.1007/s43995-025-00193-2" TargetMode="External" Id="rId54"/><Relationship Type="http://schemas.openxmlformats.org/officeDocument/2006/relationships/hyperlink" Target="https://www.autodesk.com/blogs/construction/top-2025-ai-construction-trends-according-to-the-experts/" TargetMode="External" Id="rId55"/><Relationship Type="http://schemas.openxmlformats.org/officeDocument/2006/relationships/hyperlink" Target="https://blog.khanacademy.org/how-khan-academy-is-building-a-better-ai-tutor-our-most-recent-learnings/" TargetMode="External" Id="rId56"/><Relationship Type="http://schemas.openxmlformats.org/officeDocument/2006/relationships/hyperlink" Target="https://www.povertyactionlab.org/initiative-project/ai-powered-tutoring-unleashing-full-potential-personalized-learning-khanmigo" TargetMode="External" Id="rId57"/><Relationship Type="http://schemas.openxmlformats.org/officeDocument/2006/relationships/hyperlink" Target="https://www.deloitte.com/us/en/Industries/government-public/articles/ai-in-federal-government.html" TargetMode="External" Id="rId58"/><Relationship Type="http://schemas.openxmlformats.org/officeDocument/2006/relationships/hyperlink" Target="https://www.deloitte.com/us/en/insights/industry/government-public-sector-services/government-trends/2025/scaling-ai-in-government.html" TargetMode="External" Id="rId59"/><Relationship Type="http://schemas.openxmlformats.org/officeDocument/2006/relationships/hyperlink" Target="https://www.bain.com/insights/ai-transforming-productivity-sales-remains-new-frontier-technology-report-2025/" TargetMode="External" Id="rId60"/><Relationship Type="http://schemas.openxmlformats.org/officeDocument/2006/relationships/hyperlink" Target="https://www.bvp.com/atlas/the-ai-pricing-and-monetization-playbook" TargetMode="External" Id="rId61"/><Relationship Type="http://schemas.openxmlformats.org/officeDocument/2006/relationships/hyperlink" Target="https://www.statista.com/topics/11516/artificial-intelligence-ai-in-labor-and-productivity/" TargetMode="External" Id="rId62"/><Relationship Type="http://schemas.openxmlformats.org/officeDocument/2006/relationships/hyperlink" Target="https://www.gartner.com/en/newsroom/press-releases/2025-03-25-gartner-says-cfos-should-reset-expectations-about-ais-impact-on-workforce-productivity-and-headcount" TargetMode="External" Id="rId63"/><Relationship Type="http://schemas.openxmlformats.org/officeDocument/2006/relationships/hyperlink" Target="https://suprmind.ai/hub/ai-hallucination-rates-and-benchmarks/" TargetMode="External" Id="rId64"/><Relationship Type="http://schemas.openxmlformats.org/officeDocument/2006/relationships/hyperlink" Target="https://news.ycombinator.com/item?id=46384781" TargetMode="External" Id="rId65"/></Relationships>
</file>

<file path=xl/worksheets/_rels/sheet54.xml.rels><Relationships xmlns="http://schemas.openxmlformats.org/package/2006/relationships"><Relationship Type="http://schemas.openxmlformats.org/officeDocument/2006/relationships/hyperlink" Target="https://www.bvp.com/atlas/the-ai-pricing-and-monetization-playbook" TargetMode="External" Id="rId1"/><Relationship Type="http://schemas.openxmlformats.org/officeDocument/2006/relationships/hyperlink" Target="https://www.getmonetizely.com/blogs/the-2026-guide-to-saas-ai-and-agentic-pricing-models" TargetMode="External" Id="rId2"/><Relationship Type="http://schemas.openxmlformats.org/officeDocument/2006/relationships/hyperlink" Target="https://www.data-mania.com/blog/ai-pricing-models-explained-usage-seats-credits-outcome-based-options/" TargetMode="External" Id="rId3"/><Relationship Type="http://schemas.openxmlformats.org/officeDocument/2006/relationships/hyperlink" Target="https://www.valueships.com/post/ai-pricing-8-biggest-saas-trends-in-2025" TargetMode="External" Id="rId4"/><Relationship Type="http://schemas.openxmlformats.org/officeDocument/2006/relationships/drawing" Target="/xl/drawings/drawing41.xml" Id="rId5"/></Relationships>
</file>

<file path=xl/worksheets/_rels/sheet55.xml.rels><Relationships xmlns="http://schemas.openxmlformats.org/package/2006/relationships"><Relationship Type="http://schemas.openxmlformats.org/officeDocument/2006/relationships/hyperlink" Target="https://www.lek.com/insights/tmt/global/ar/how-ai-changing-saas-pricing" TargetMode="External" Id="rId1"/><Relationship Type="http://schemas.openxmlformats.org/officeDocument/2006/relationships/hyperlink" Target="https://www.bvp.com/atlas/the-ai-pricing-and-monetization-playbook" TargetMode="External" Id="rId2"/><Relationship Type="http://schemas.openxmlformats.org/officeDocument/2006/relationships/hyperlink" Target="https://rsmus.com/insights/industries/technology-companies/saas-vendors-pricing-models-ai.html" TargetMode="External" Id="rId3"/><Relationship Type="http://schemas.openxmlformats.org/officeDocument/2006/relationships/drawing" Target="/xl/drawings/drawing42.xml" Id="rId4"/></Relationships>
</file>

<file path=xl/worksheets/_rels/sheet56.xml.rels><Relationships xmlns="http://schemas.openxmlformats.org/package/2006/relationships"><Relationship Type="http://schemas.openxmlformats.org/officeDocument/2006/relationships/hyperlink" Target="https://www.getmonetizely.com/blogs/the-2026-guide-to-saas-ai-and-agentic-pricing-models" TargetMode="External" Id="rId1"/><Relationship Type="http://schemas.openxmlformats.org/officeDocument/2006/relationships/hyperlink" Target="https://gtmnow.com/how-intercom-built-the-highest-performing-ai-agent-on-the-market-using-outcome-based-pricing-with-archana-agrawal-president-at-intercom/" TargetMode="External" Id="rId2"/><Relationship Type="http://schemas.openxmlformats.org/officeDocument/2006/relationships/hyperlink" Target="https://cosine.sh/blog/ai-coding-agent-pricing-task-vs-token" TargetMode="External" Id="rId3"/></Relationships>
</file>

<file path=xl/worksheets/_rels/sheet57.xml.rels><Relationships xmlns="http://schemas.openxmlformats.org/package/2006/relationships"><Relationship Type="http://schemas.openxmlformats.org/officeDocument/2006/relationships/hyperlink" Target="https://www.nber.org/papers/w31161" TargetMode="External" Id="rId1"/><Relationship Type="http://schemas.openxmlformats.org/officeDocument/2006/relationships/hyperlink" Target="https://mlq.ai/media/quarterly_decks/v0.1_State_of_AI_in_Business_2025_Report.pdf" TargetMode="External" Id="rId2"/><Relationship Type="http://schemas.openxmlformats.org/officeDocument/2006/relationships/hyperlink" Target="https://www.bcg.com/publications/2025/ai-at-work-momentum-builds-but-gaps-remain" TargetMode="External" Id="rId3"/></Relationships>
</file>

<file path=xl/worksheets/_rels/sheet58.xml.rels><Relationships xmlns="http://schemas.openxmlformats.org/package/2006/relationships"><Relationship Type="http://schemas.openxmlformats.org/officeDocument/2006/relationships/hyperlink" Target="https://fin.ai/pricing" TargetMode="External" Id="rId1"/><Relationship Type="http://schemas.openxmlformats.org/officeDocument/2006/relationships/hyperlink" Target="https://www.intercom.com/help/en/articles/8205718-fin-ai-agent-outcomes" TargetMode="External" Id="rId2"/><Relationship Type="http://schemas.openxmlformats.org/officeDocument/2006/relationships/hyperlink" Target="https://thegtmnewsletter.substack.com/p/gtm-178-intercom-ai-agent-outcome-based-pricing-archana-agrawal" TargetMode="External" Id="rId3"/><Relationship Type="http://schemas.openxmlformats.org/officeDocument/2006/relationships/hyperlink" Target="https://dannguyenhuu.substack.com/p/tokenomics-1-the-pricing-evolution" TargetMode="External" Id="rId4"/><Relationship Type="http://schemas.openxmlformats.org/officeDocument/2006/relationships/hyperlink" Target="https://lovable.dev/guides/replit-vs-cursor" TargetMode="External" Id="rId5"/><Relationship Type="http://schemas.openxmlformats.org/officeDocument/2006/relationships/hyperlink" Target="https://www.bvp.com/atlas/the-ai-pricing-and-monetization-playbook" TargetMode="External" Id="rId6"/><Relationship Type="http://schemas.openxmlformats.org/officeDocument/2006/relationships/hyperlink" Target="https://www.getmonetizely.com/blogs/the-2026-guide-to-saas-ai-and-agentic-pricing-models" TargetMode="External" Id="rId7"/><Relationship Type="http://schemas.openxmlformats.org/officeDocument/2006/relationships/hyperlink" Target="https://www.statista.com/statistics/1620734/adoption-of-pricing-models-for-agentic-ai-tools/" TargetMode="External" Id="rId8"/><Relationship Type="http://schemas.openxmlformats.org/officeDocument/2006/relationships/drawing" Target="/xl/drawings/drawing43.xml" Id="rId9"/></Relationships>
</file>

<file path=xl/worksheets/_rels/sheet59.xml.rels><Relationships xmlns="http://schemas.openxmlformats.org/package/2006/relationships"><Relationship Type="http://schemas.openxmlformats.org/officeDocument/2006/relationships/hyperlink" Target="https://www.routledge.com/Value-First-Then-Price-Building-Value-Based-Pricing-Strategies/Hinterhuber-Snelgrove/p/book/9781032012124" TargetMode="External" Id="rId1"/><Relationship Type="http://schemas.openxmlformats.org/officeDocument/2006/relationships/hyperlink" Target="https://hbr.org/2006/03/customer-value-propositions-in-business-markets" TargetMode="External" Id="rId2"/><Relationship Type="http://schemas.openxmlformats.org/officeDocument/2006/relationships/drawing" Target="/xl/drawings/drawing44.xml" Id="rId3"/></Relationships>
</file>

<file path=xl/worksheets/_rels/sheet60.xml.rels><Relationships xmlns="http://schemas.openxmlformats.org/package/2006/relationships"><Relationship Type="http://schemas.openxmlformats.org/officeDocument/2006/relationships/hyperlink" Target="https://users.metu.edu.tr/mugan/Hinterhuber%202004%20value%20based%20pricing.pdf" TargetMode="External" Id="rId1"/><Relationship Type="http://schemas.openxmlformats.org/officeDocument/2006/relationships/hyperlink" Target="https://hbr.org/2006/03/customer-value-propositions-in-business-markets" TargetMode="External" Id="rId2"/><Relationship Type="http://schemas.openxmlformats.org/officeDocument/2006/relationships/hyperlink" Target="https://hinterhuber.scrdesign.com/wp-content/uploads/2022/04/Pricing-research-SAGE_2021.pdf" TargetMode="External" Id="rId3"/></Relationships>
</file>

<file path=xl/worksheets/_rels/sheet61.xml.rels><Relationships xmlns="http://schemas.openxmlformats.org/package/2006/relationships"><Relationship Type="http://schemas.openxmlformats.org/officeDocument/2006/relationships/hyperlink" Target="https://fin.ai/pricing" TargetMode="External" Id="rId1"/><Relationship Type="http://schemas.openxmlformats.org/officeDocument/2006/relationships/hyperlink" Target="https://thegtmnewsletter.substack.com/p/gtm-178-intercom-ai-agent-outcome-based-pricing-archana-agrawal" TargetMode="External" Id="rId2"/><Relationship Type="http://schemas.openxmlformats.org/officeDocument/2006/relationships/drawing" Target="/xl/drawings/drawing45.xml" Id="rId3"/></Relationships>
</file>

<file path=xl/worksheets/_rels/sheet62.xml.rels><Relationships xmlns="http://schemas.openxmlformats.org/package/2006/relationships"><Relationship Type="http://schemas.openxmlformats.org/officeDocument/2006/relationships/hyperlink" Target="https://www.statista.com/statistics/1620734/adoption-of-pricing-models-for-agentic-ai-tools/" TargetMode="External" Id="rId1"/><Relationship Type="http://schemas.openxmlformats.org/officeDocument/2006/relationships/hyperlink" Target="https://www.bvp.com/atlas/the-ai-pricing-and-monetization-playbook" TargetMode="External" Id="rId2"/><Relationship Type="http://schemas.openxmlformats.org/officeDocument/2006/relationships/hyperlink" Target="https://www.getmonetizely.com/blogs/the-2026-guide-to-saas-ai-and-agentic-pricing-models" TargetMode="External" Id="rId3"/></Relationships>
</file>

<file path=xl/worksheets/_rels/sheet63.xml.rels><Relationships xmlns="http://schemas.openxmlformats.org/package/2006/relationships"><Relationship Type="http://schemas.openxmlformats.org/officeDocument/2006/relationships/hyperlink" Target="https://www.valueships.com/post/ai-pricing-8-biggest-saas-trends-in-2025" TargetMode="External" Id="rId1"/></Relationships>
</file>

<file path=xl/worksheets/_rels/sheet64.xml.rels><Relationships xmlns="http://schemas.openxmlformats.org/package/2006/relationships"><Relationship Type="http://schemas.openxmlformats.org/officeDocument/2006/relationships/hyperlink" Target="https://www.statista.com/statistics/1620734/adoption-of-pricing-models-for-agentic-ai-tools/" TargetMode="External" Id="rId1"/></Relationships>
</file>

<file path=xl/worksheets/sheet1.xml><?xml version="1.0" encoding="utf-8"?>
<worksheet xmlns="http://schemas.openxmlformats.org/spreadsheetml/2006/main">
  <sheetPr filterMode="0">
    <outlinePr summaryBelow="1" summaryRight="1"/>
    <pageSetUpPr fitToPage="0"/>
  </sheetPr>
  <dimension ref="A1:H3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69" min="1" max="1"/>
    <col width="14" customWidth="1" style="69" min="2" max="8"/>
  </cols>
  <sheetData>
    <row r="1" ht="34.5" customHeight="1" s="70">
      <c r="A1" s="71" t="inlineStr">
        <is>
          <t>The Real, Quantified Value of AI Today</t>
        </is>
      </c>
    </row>
    <row r="2" ht="34.5" customHeight="1" s="70"/>
    <row r="3" ht="34.5" customHeight="1" s="70"/>
    <row r="5" ht="15.75" customHeight="1" s="70">
      <c r="A5" s="72" t="inlineStr">
        <is>
          <t>An evidence pack for translating realised AI productivity into defensible pricing logic</t>
        </is>
      </c>
    </row>
    <row r="7" ht="15" customHeight="1" s="70">
      <c r="A7" s="73" t="inlineStr">
        <is>
          <t>Prepared by: Research Analyst  |  For: Maciej Wilczyński, Valueships  |  Date: May 2026</t>
        </is>
      </c>
    </row>
    <row r="10" ht="24.75" customHeight="1" s="70">
      <c r="A10" s="74" t="inlineStr">
        <is>
          <t>Central thesis</t>
        </is>
      </c>
    </row>
    <row r="11" ht="21.75" customHeight="1" s="70">
      <c r="A11" s="75" t="inlineStr">
        <is>
          <t>Central thesis  —  AI delivers a 2x, not a 10x, productivity factor — and the pricing model needs to follow the evidence.
The strongest workplace AI studies converge at 14–40% uplift on AI-fitted tasks (Noy/Zhang 37%, Brynjolfsson 14–15%, BCG-HBS 25–40% inside frontier, Copilot 55% in green-field RCT vs METR −19% on real OSS work). Salesforce cut customer support 9,000→5,000 in 2025, now publicly walking it back. Klarna replaced 700 agents, now rehiring. IBM automated 94% of HR queries — and total headcount went up.
Pricing implication: '10x output' would justify step-change pricing or full outcome capture. 20–40% uplift justifies a different commercial model — usage, outcome bands, gainsharing, or automation-unit pricing. Anchoring price in headcount-replacement is now a public-record losing strategy.
Use this pack to: (1) quantify value by sector and task class, (2) test where 10x pricing can be defended, (3) pick the right monetisation model, (4) build an ROI calc that survives buyer scrutiny.</t>
        </is>
      </c>
    </row>
    <row r="12" ht="21.75" customHeight="1" s="70"/>
    <row r="13" ht="21.75" customHeight="1" s="70"/>
    <row r="14" ht="21.75" customHeight="1" s="70"/>
    <row r="15" ht="21.75" customHeight="1" s="70"/>
    <row r="16" ht="21.75" customHeight="1" s="70"/>
    <row r="17" ht="21.75" customHeight="1" s="70"/>
    <row r="20" ht="24.75" customHeight="1" s="70">
      <c r="A20" s="74" t="inlineStr">
        <is>
          <t>Statista Research AI evidence — added May 2026</t>
        </is>
      </c>
    </row>
    <row r="21" ht="60" customHeight="1" s="70">
      <c r="A21" s="76" t="inlineStr">
        <is>
          <t>Sheets ST01–ST10 add 10 primary Statista chart references — sourced from the user's Statista Premium Research AI session. Key additions: (1) buyer pricing preferences (consumption 55%, outcome 17% — V05 corrected); (2) FinServ profitability (only 40% capture positive impact); (3) fintech vs traditional FI gap (56% vs 34%); (4) 44% minimal workforce impact (refutes mass-layoff frame).</t>
        </is>
      </c>
    </row>
    <row r="22" ht="24.75" customHeight="1" s="70">
      <c r="A22" s="77" t="inlineStr">
        <is>
          <t>Statista Research AI session  —  https://www.statista.com/research-ai/chat/019e1f8f-6f89-7813-9686-730f97cc93af</t>
        </is>
      </c>
    </row>
    <row r="24" ht="24.75" customHeight="1" s="70">
      <c r="A24" s="74" t="inlineStr">
        <is>
          <t>Anti-hype &amp; value-framing evidence — added May 2026</t>
        </is>
      </c>
    </row>
    <row r="25" ht="90" customHeight="1" s="70">
      <c r="A25" s="76" t="inlineStr">
        <is>
          <t>Sheets HY01–HY02 stack AI maximalist claims (Amodei 50% job loss, Altman AGI-2025, Huang every-job-affected, Anthropic Economic Index) against RCT evidence. Sheets VI01–VI03 introduce a Value Index decomposing AI value into revenue-side vs cost-side — and show 80–100% of measured AI value is cost-side. The pricing science (Hinterhuber, Anderson/Narus) shows buyers PREFER revenue-side arguments — a structural mismatch with current AI value mix. Sheets PR01–PR02 formalise the Replaceability × Pricing-model matrix: high replaceability + clean attribution → outcome; low replaceability → seat-based. Applied to 13 SaaS verticals in PR02 as a decision tree.</t>
        </is>
      </c>
    </row>
    <row r="28" ht="24.75" customHeight="1" s="70">
      <c r="A28" s="74" t="inlineStr">
        <is>
          <t>Value Increase Index (VII) — the capstone analytic — added May 2026</t>
        </is>
      </c>
    </row>
    <row r="29" ht="99.75" customHeight="1" s="70">
      <c r="A29" s="76" t="inlineStr">
        <is>
          <t>Sheet IDX01 introduces the Value Increase Index (VII) — the single load-bearing metric that collapses time/quality/task uplift across all sectors into one comparable percentage: VII = (Rev × RevShare) + (Cost × CostShare). Median VII across 18 sector lines is 15–18%. Sheet IDX02 is the live calculator: edit yellow input cells, green output cells recalculate. The capstone finding: at 20% VII and 20% vendor capture, vendor revenue = $3,600/FTE/yr = ~$300/seat/mo equivalent. Per-seat at $30/mo captures only 2% of value — explaining the structural shift to hybrid and outcome models.</t>
        </is>
      </c>
    </row>
    <row r="32" ht="50" customHeight="1" s="70">
      <c r="A32" s="177" t="inlineStr">
        <is>
          <t>Gross AI looks like a revolution. Net AI inside unrestructured organisations looks like a productivity tool.</t>
        </is>
      </c>
    </row>
    <row r="33" ht="130" customHeight="1" s="70">
      <c r="A33" s="178" t="n"/>
    </row>
  </sheetData>
  <mergeCells count="14">
    <mergeCell ref="A21:H21"/>
    <mergeCell ref="A29:H29"/>
    <mergeCell ref="A7:H7"/>
    <mergeCell ref="A25:H25"/>
    <mergeCell ref="A20:H20"/>
    <mergeCell ref="A24:H24"/>
    <mergeCell ref="A10:H10"/>
    <mergeCell ref="A28:H28"/>
    <mergeCell ref="A33:H33"/>
    <mergeCell ref="A11:H17"/>
    <mergeCell ref="A5:H5"/>
    <mergeCell ref="A32:H32"/>
    <mergeCell ref="A1:H3"/>
    <mergeCell ref="A22:H22"/>
  </mergeCells>
  <hyperlinks>
    <hyperlink xmlns:r="http://schemas.openxmlformats.org/officeDocument/2006/relationships" ref="A22" display="Statista Research AI session  —  https://www.statista.com/research-ai/chat/019e1f8f-6f89-7813-9686-730f97cc93af"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6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69" min="1" max="1"/>
    <col width="10" customWidth="1" style="69" min="2" max="2"/>
    <col width="60" customWidth="1" style="69" min="3" max="3"/>
    <col width="22" customWidth="1" style="69" min="4" max="4"/>
  </cols>
  <sheetData>
    <row r="1" ht="30" customHeight="1" s="70">
      <c r="A1" s="78" t="inlineStr">
        <is>
          <t>01  |  Contents</t>
        </is>
      </c>
    </row>
    <row r="3" ht="15" customHeight="1" s="70">
      <c r="A3" s="79" t="inlineStr">
        <is>
          <t>Section</t>
        </is>
      </c>
      <c r="B3" s="79" t="inlineStr">
        <is>
          <t>Sheet</t>
        </is>
      </c>
      <c r="C3" s="79" t="inlineStr">
        <is>
          <t>Topic</t>
        </is>
      </c>
      <c r="D3" s="79" t="inlineStr">
        <is>
          <t>Pyramid level</t>
        </is>
      </c>
    </row>
    <row r="4" ht="15" customHeight="1" s="70">
      <c r="A4" s="80" t="inlineStr">
        <is>
          <t>MACRO</t>
        </is>
      </c>
      <c r="B4" s="80" t="inlineStr">
        <is>
          <t>M01</t>
        </is>
      </c>
      <c r="C4" s="80" t="inlineStr">
        <is>
          <t>10x vs 2x — claimed vs realised productivity</t>
        </is>
      </c>
      <c r="D4" s="80" t="inlineStr">
        <is>
          <t>Top-line answer</t>
        </is>
      </c>
    </row>
    <row r="5" ht="15" customHeight="1" s="70">
      <c r="A5" s="81" t="inlineStr">
        <is>
          <t>MACRO</t>
        </is>
      </c>
      <c r="B5" s="81" t="inlineStr">
        <is>
          <t>M02</t>
        </is>
      </c>
      <c r="C5" s="81" t="inlineStr">
        <is>
          <t>McKinsey — $2.6–4.4T GenAI economic potential</t>
        </is>
      </c>
      <c r="D5" s="81" t="inlineStr">
        <is>
          <t>Sizing</t>
        </is>
      </c>
    </row>
    <row r="6" ht="15" customHeight="1" s="70">
      <c r="A6" s="80" t="inlineStr">
        <is>
          <t>MACRO</t>
        </is>
      </c>
      <c r="B6" s="80" t="inlineStr">
        <is>
          <t>M03</t>
        </is>
      </c>
      <c r="C6" s="80" t="inlineStr">
        <is>
          <t>Goldman vs Acemoglu — the productivity range</t>
        </is>
      </c>
      <c r="D6" s="80" t="inlineStr">
        <is>
          <t>Range of estimates</t>
        </is>
      </c>
    </row>
    <row r="7" ht="15" customHeight="1" s="70">
      <c r="A7" s="81" t="inlineStr">
        <is>
          <t>MACRO</t>
        </is>
      </c>
      <c r="B7" s="81" t="inlineStr">
        <is>
          <t>M04</t>
        </is>
      </c>
      <c r="C7" s="81" t="inlineStr">
        <is>
          <t>MIT NANDA — 95% of GenAI pilots fail ROI</t>
        </is>
      </c>
      <c r="D7" s="81" t="inlineStr">
        <is>
          <t>Reality check</t>
        </is>
      </c>
    </row>
    <row r="8" ht="15" customHeight="1" s="70">
      <c r="A8" s="80" t="inlineStr">
        <is>
          <t>MACRO</t>
        </is>
      </c>
      <c r="B8" s="80" t="inlineStr">
        <is>
          <t>M05</t>
        </is>
      </c>
      <c r="C8" s="80" t="inlineStr">
        <is>
          <t>McKinsey State of AI 2025 — function-level impact</t>
        </is>
      </c>
      <c r="D8" s="80" t="inlineStr">
        <is>
          <t>EBIT linkage</t>
        </is>
      </c>
    </row>
    <row r="9" ht="15" customHeight="1" s="70">
      <c r="A9" s="81" t="inlineStr">
        <is>
          <t>MACRO</t>
        </is>
      </c>
      <c r="B9" s="81" t="inlineStr">
        <is>
          <t>M06</t>
        </is>
      </c>
      <c r="C9" s="81" t="inlineStr">
        <is>
          <t>AI adoption — Census, Stanford, BCG</t>
        </is>
      </c>
      <c r="D9" s="81" t="inlineStr">
        <is>
          <t>Diffusion</t>
        </is>
      </c>
    </row>
    <row r="10" ht="15" customHeight="1" s="70">
      <c r="A10" s="80" t="inlineStr">
        <is>
          <t>SECTOR</t>
        </is>
      </c>
      <c r="B10" s="80" t="inlineStr">
        <is>
          <t>S01</t>
        </is>
      </c>
      <c r="C10" s="80" t="inlineStr">
        <is>
          <t>Software dev — Copilot 55% vs METR −19%</t>
        </is>
      </c>
      <c r="D10" s="80" t="inlineStr">
        <is>
          <t>Sector evidence</t>
        </is>
      </c>
    </row>
    <row r="11" ht="15" customHeight="1" s="70">
      <c r="A11" s="81" t="inlineStr">
        <is>
          <t>SECTOR</t>
        </is>
      </c>
      <c r="B11" s="81" t="inlineStr">
        <is>
          <t>S02</t>
        </is>
      </c>
      <c r="C11" s="81" t="inlineStr">
        <is>
          <t>Customer service — Brynjolfsson 14%</t>
        </is>
      </c>
      <c r="D11" s="81" t="inlineStr">
        <is>
          <t>Sector evidence</t>
        </is>
      </c>
    </row>
    <row r="12" ht="15" customHeight="1" s="70">
      <c r="A12" s="80" t="inlineStr">
        <is>
          <t>SECTOR</t>
        </is>
      </c>
      <c r="B12" s="80" t="inlineStr">
        <is>
          <t>S03</t>
        </is>
      </c>
      <c r="C12" s="80" t="inlineStr">
        <is>
          <t>Writing &amp; marketing — Noy/Zhang 37%</t>
        </is>
      </c>
      <c r="D12" s="80" t="inlineStr">
        <is>
          <t>Sector evidence</t>
        </is>
      </c>
    </row>
    <row r="13" ht="15" customHeight="1" s="70">
      <c r="A13" s="81" t="inlineStr">
        <is>
          <t>SECTOR</t>
        </is>
      </c>
      <c r="B13" s="81" t="inlineStr">
        <is>
          <t>S04</t>
        </is>
      </c>
      <c r="C13" s="81" t="inlineStr">
        <is>
          <t>Consulting — BCG/HBR jagged frontier</t>
        </is>
      </c>
      <c r="D13" s="81" t="inlineStr">
        <is>
          <t>Sector evidence</t>
        </is>
      </c>
    </row>
    <row r="14" ht="15" customHeight="1" s="70">
      <c r="A14" s="80" t="inlineStr">
        <is>
          <t>SECTOR</t>
        </is>
      </c>
      <c r="B14" s="80" t="inlineStr">
        <is>
          <t>S05</t>
        </is>
      </c>
      <c r="C14" s="80" t="inlineStr">
        <is>
          <t>Sales — 10–15% lift, 1.3x growth odds</t>
        </is>
      </c>
      <c r="D14" s="80" t="inlineStr">
        <is>
          <t>Sector evidence</t>
        </is>
      </c>
    </row>
    <row r="15" ht="15" customHeight="1" s="70">
      <c r="A15" s="81" t="inlineStr">
        <is>
          <t>SECTOR</t>
        </is>
      </c>
      <c r="B15" s="81" t="inlineStr">
        <is>
          <t>S06</t>
        </is>
      </c>
      <c r="C15" s="81" t="inlineStr">
        <is>
          <t>Legal — Choi/Schwarcz; JPMorgan COIN</t>
        </is>
      </c>
      <c r="D15" s="81" t="inlineStr">
        <is>
          <t>Sector evidence</t>
        </is>
      </c>
    </row>
    <row r="16" ht="15" customHeight="1" s="70">
      <c r="A16" s="80" t="inlineStr">
        <is>
          <t>SECTOR</t>
        </is>
      </c>
      <c r="B16" s="80" t="inlineStr">
        <is>
          <t>S07</t>
        </is>
      </c>
      <c r="C16" s="80" t="inlineStr">
        <is>
          <t>Healthcare — AI scribes, burnout 51→39%</t>
        </is>
      </c>
      <c r="D16" s="80" t="inlineStr">
        <is>
          <t>Sector evidence</t>
        </is>
      </c>
    </row>
    <row r="17" ht="15" customHeight="1" s="70">
      <c r="A17" s="81" t="inlineStr">
        <is>
          <t>SECTOR</t>
        </is>
      </c>
      <c r="B17" s="81" t="inlineStr">
        <is>
          <t>S08</t>
        </is>
      </c>
      <c r="C17" s="81" t="inlineStr">
        <is>
          <t>Finance &amp; back office — IBM AskHR</t>
        </is>
      </c>
      <c r="D17" s="81" t="inlineStr">
        <is>
          <t>Sector evidence</t>
        </is>
      </c>
    </row>
    <row r="18" ht="15" customHeight="1" s="70">
      <c r="A18" s="80" t="inlineStr">
        <is>
          <t>SECTOR</t>
        </is>
      </c>
      <c r="B18" s="80" t="inlineStr">
        <is>
          <t>S09</t>
        </is>
      </c>
      <c r="C18" s="80" t="inlineStr">
        <is>
          <t>Manufacturing — McKinsey 2–3x ops uplift</t>
        </is>
      </c>
      <c r="D18" s="80" t="inlineStr">
        <is>
          <t>Sector evidence</t>
        </is>
      </c>
    </row>
    <row r="19" ht="15" customHeight="1" s="70">
      <c r="A19" s="81" t="inlineStr">
        <is>
          <t>SECTOR</t>
        </is>
      </c>
      <c r="B19" s="81" t="inlineStr">
        <is>
          <t>S10</t>
        </is>
      </c>
      <c r="C19" s="81" t="inlineStr">
        <is>
          <t>AEC / construction — 20–30% productivity</t>
        </is>
      </c>
      <c r="D19" s="81" t="inlineStr">
        <is>
          <t>Sector evidence</t>
        </is>
      </c>
    </row>
    <row r="20" ht="15" customHeight="1" s="70">
      <c r="A20" s="80" t="inlineStr">
        <is>
          <t>SECTOR</t>
        </is>
      </c>
      <c r="B20" s="80" t="inlineStr">
        <is>
          <t>S11</t>
        </is>
      </c>
      <c r="C20" s="80" t="inlineStr">
        <is>
          <t>Education — Khanmigo, modest gains</t>
        </is>
      </c>
      <c r="D20" s="80" t="inlineStr">
        <is>
          <t>Sector evidence</t>
        </is>
      </c>
    </row>
    <row r="21" ht="15" customHeight="1" s="70">
      <c r="A21" s="81" t="inlineStr">
        <is>
          <t>SECTOR</t>
        </is>
      </c>
      <c r="B21" s="81" t="inlineStr">
        <is>
          <t>S12</t>
        </is>
      </c>
      <c r="C21" s="81" t="inlineStr">
        <is>
          <t>Government — 1 hr/day, 96M–1.2B hrs</t>
        </is>
      </c>
      <c r="D21" s="81" t="inlineStr">
        <is>
          <t>Sector evidence</t>
        </is>
      </c>
    </row>
    <row r="22" ht="15" customHeight="1" s="70">
      <c r="A22" s="80" t="inlineStr">
        <is>
          <t>CASE</t>
        </is>
      </c>
      <c r="B22" s="80" t="inlineStr">
        <is>
          <t>C01</t>
        </is>
      </c>
      <c r="C22" s="80" t="inlineStr">
        <is>
          <t>Salesforce — 9K→5K, then partial reversal</t>
        </is>
      </c>
      <c r="D22" s="80" t="inlineStr">
        <is>
          <t>Anchor case</t>
        </is>
      </c>
    </row>
    <row r="23" ht="15" customHeight="1" s="70">
      <c r="A23" s="81" t="inlineStr">
        <is>
          <t>CASE</t>
        </is>
      </c>
      <c r="B23" s="81" t="inlineStr">
        <is>
          <t>C02</t>
        </is>
      </c>
      <c r="C23" s="81" t="inlineStr">
        <is>
          <t>Klarna — replace 700, then rehire</t>
        </is>
      </c>
      <c r="D23" s="81" t="inlineStr">
        <is>
          <t>Anchor case</t>
        </is>
      </c>
    </row>
    <row r="24" ht="15" customHeight="1" s="70">
      <c r="A24" s="80" t="inlineStr">
        <is>
          <t>CASE</t>
        </is>
      </c>
      <c r="B24" s="80" t="inlineStr">
        <is>
          <t>C03</t>
        </is>
      </c>
      <c r="C24" s="80" t="inlineStr">
        <is>
          <t>IBM — AskHR 94%, total headcount up</t>
        </is>
      </c>
      <c r="D24" s="80" t="inlineStr">
        <is>
          <t>Anchor case</t>
        </is>
      </c>
    </row>
    <row r="25" ht="15" customHeight="1" s="70">
      <c r="A25" s="81" t="inlineStr">
        <is>
          <t>CASE</t>
        </is>
      </c>
      <c r="B25" s="81" t="inlineStr">
        <is>
          <t>C04</t>
        </is>
      </c>
      <c r="C25" s="81" t="inlineStr">
        <is>
          <t>Duolingo — backlash, contractors phased</t>
        </is>
      </c>
      <c r="D25" s="81" t="inlineStr">
        <is>
          <t>Anchor case</t>
        </is>
      </c>
    </row>
    <row r="26" ht="15" customHeight="1" s="70">
      <c r="A26" s="80" t="inlineStr">
        <is>
          <t>CASE</t>
        </is>
      </c>
      <c r="B26" s="80" t="inlineStr">
        <is>
          <t>C05</t>
        </is>
      </c>
      <c r="C26" s="80" t="inlineStr">
        <is>
          <t>Reliability gap — hallucination, errors</t>
        </is>
      </c>
      <c r="D26" s="80" t="inlineStr">
        <is>
          <t>Reliability</t>
        </is>
      </c>
    </row>
    <row r="27" ht="15" customHeight="1" s="70">
      <c r="A27" s="81" t="inlineStr">
        <is>
          <t>SYNTH</t>
        </is>
      </c>
      <c r="B27" s="81" t="inlineStr">
        <is>
          <t>Z01</t>
        </is>
      </c>
      <c r="C27" s="81" t="inlineStr">
        <is>
          <t>Productivity uplift heatmap — sector × skill</t>
        </is>
      </c>
      <c r="D27" s="81" t="inlineStr">
        <is>
          <t>Synthesis</t>
        </is>
      </c>
    </row>
    <row r="28" ht="15" customHeight="1" s="70">
      <c r="A28" s="80" t="inlineStr">
        <is>
          <t>SYNTH</t>
        </is>
      </c>
      <c r="B28" s="80" t="inlineStr">
        <is>
          <t>Z02</t>
        </is>
      </c>
      <c r="C28" s="80" t="inlineStr">
        <is>
          <t>Bottleneck thesis — why no 10x at scale</t>
        </is>
      </c>
      <c r="D28" s="80" t="inlineStr">
        <is>
          <t>Synthesis</t>
        </is>
      </c>
    </row>
    <row r="29" ht="15" customHeight="1" s="70">
      <c r="A29" s="81" t="inlineStr">
        <is>
          <t>SYNTH</t>
        </is>
      </c>
      <c r="B29" s="81" t="inlineStr">
        <is>
          <t>Z03</t>
        </is>
      </c>
      <c r="C29" s="81" t="inlineStr">
        <is>
          <t>Value-based pricing implications</t>
        </is>
      </c>
      <c r="D29" s="81" t="inlineStr">
        <is>
          <t>Commercial output</t>
        </is>
      </c>
    </row>
    <row r="30" ht="15" customHeight="1" s="70">
      <c r="A30" s="80" t="inlineStr">
        <is>
          <t>SYNTH</t>
        </is>
      </c>
      <c r="B30" s="80" t="inlineStr">
        <is>
          <t>Z04</t>
        </is>
      </c>
      <c r="C30" s="80" t="inlineStr">
        <is>
          <t>Sources &amp; methodology</t>
        </is>
      </c>
      <c r="D30" s="80" t="inlineStr">
        <is>
          <t>Reference</t>
        </is>
      </c>
    </row>
    <row r="31" ht="23.25" customHeight="1" s="70">
      <c r="A31" s="80" t="inlineStr">
        <is>
          <t>VALUE/PRICE</t>
        </is>
      </c>
      <c r="B31" s="80" t="inlineStr">
        <is>
          <t>V01</t>
        </is>
      </c>
      <c r="C31" s="80" t="inlineStr">
        <is>
          <t>Value created vs captured vs retained</t>
        </is>
      </c>
      <c r="D31" s="80" t="inlineStr">
        <is>
          <t>Pricing framework</t>
        </is>
      </c>
    </row>
    <row r="32" ht="23.25" customHeight="1" s="70">
      <c r="A32" s="81" t="inlineStr">
        <is>
          <t>VALUE/PRICE</t>
        </is>
      </c>
      <c r="B32" s="81" t="inlineStr">
        <is>
          <t>V02</t>
        </is>
      </c>
      <c r="C32" s="81" t="inlineStr">
        <is>
          <t>The 10x pricing test — when is 10x defensible</t>
        </is>
      </c>
      <c r="D32" s="81" t="inlineStr">
        <is>
          <t>Pricing framework</t>
        </is>
      </c>
    </row>
    <row r="33" ht="23.25" customHeight="1" s="70">
      <c r="A33" s="80" t="inlineStr">
        <is>
          <t>VALUE/PRICE</t>
        </is>
      </c>
      <c r="B33" s="80" t="inlineStr">
        <is>
          <t>V03</t>
        </is>
      </c>
      <c r="C33" s="80" t="inlineStr">
        <is>
          <t>Pricing model decision matrix</t>
        </is>
      </c>
      <c r="D33" s="80" t="inlineStr">
        <is>
          <t>Pricing framework</t>
        </is>
      </c>
    </row>
    <row r="34" ht="23.25" customHeight="1" s="70">
      <c r="A34" s="81" t="inlineStr">
        <is>
          <t>VALUE/PRICE</t>
        </is>
      </c>
      <c r="B34" s="81" t="inlineStr">
        <is>
          <t>V04</t>
        </is>
      </c>
      <c r="C34" s="81" t="inlineStr">
        <is>
          <t>ROI calculation methodology + worked example</t>
        </is>
      </c>
      <c r="D34" s="81" t="inlineStr">
        <is>
          <t>Commercial output</t>
        </is>
      </c>
    </row>
    <row r="35" ht="23.25" customHeight="1" s="70">
      <c r="A35" s="80" t="inlineStr">
        <is>
          <t>VALUE/PRICE</t>
        </is>
      </c>
      <c r="B35" s="80" t="inlineStr">
        <is>
          <t>V05</t>
        </is>
      </c>
      <c r="C35" s="80" t="inlineStr">
        <is>
          <t>Real AI pricing benchmarks (Intercom, Cursor, etc.)</t>
        </is>
      </c>
      <c r="D35" s="80" t="inlineStr">
        <is>
          <t>Market reference</t>
        </is>
      </c>
    </row>
    <row r="36" ht="15" customHeight="1" s="70">
      <c r="A36" s="80" t="inlineStr">
        <is>
          <t>MACRO</t>
        </is>
      </c>
      <c r="B36" s="80" t="inlineStr">
        <is>
          <t>M07</t>
        </is>
      </c>
      <c r="C36" s="80" t="inlineStr">
        <is>
          <t>Capgemini/Statista — exec expectation 30%+40pp</t>
        </is>
      </c>
      <c r="D36" s="80" t="inlineStr">
        <is>
          <t>Reality check</t>
        </is>
      </c>
    </row>
    <row r="37" ht="15" customHeight="1" s="70">
      <c r="A37" s="80" t="inlineStr">
        <is>
          <t>STATISTA</t>
        </is>
      </c>
      <c r="B37" s="80" t="inlineStr">
        <is>
          <t>ST01</t>
        </is>
      </c>
      <c r="C37" s="80" t="inlineStr">
        <is>
          <t>Task automation expectations (Capgemini)</t>
        </is>
      </c>
      <c r="D37" s="80" t="inlineStr">
        <is>
          <t>Reality check</t>
        </is>
      </c>
    </row>
    <row r="38" ht="15" customHeight="1" s="70">
      <c r="A38" s="81" t="inlineStr">
        <is>
          <t>STATISTA</t>
        </is>
      </c>
      <c r="B38" s="81" t="inlineStr">
        <is>
          <t>ST02</t>
        </is>
      </c>
      <c r="C38" s="81" t="inlineStr">
        <is>
          <t>Cost reductions by function — &lt;10% modal</t>
        </is>
      </c>
      <c r="D38" s="81" t="inlineStr">
        <is>
          <t>Defensive evidence</t>
        </is>
      </c>
    </row>
    <row r="39" ht="15" customHeight="1" s="70">
      <c r="A39" s="80" t="inlineStr">
        <is>
          <t>STATISTA</t>
        </is>
      </c>
      <c r="B39" s="80" t="inlineStr">
        <is>
          <t>ST03</t>
        </is>
      </c>
      <c r="C39" s="80" t="inlineStr">
        <is>
          <t>FinServ revenue impact distribution</t>
        </is>
      </c>
      <c r="D39" s="80" t="inlineStr">
        <is>
          <t>Sector evidence</t>
        </is>
      </c>
    </row>
    <row r="40" ht="15" customHeight="1" s="70">
      <c r="A40" s="81" t="inlineStr">
        <is>
          <t>STATISTA</t>
        </is>
      </c>
      <c r="B40" s="81" t="inlineStr">
        <is>
          <t>ST04</t>
        </is>
      </c>
      <c r="C40" s="81" t="inlineStr">
        <is>
          <t>FinServ profitability — 40% positive, 43% no change</t>
        </is>
      </c>
      <c r="D40" s="81" t="inlineStr">
        <is>
          <t>Defensive evidence</t>
        </is>
      </c>
    </row>
    <row r="41" ht="15" customHeight="1" s="70">
      <c r="A41" s="80" t="inlineStr">
        <is>
          <t>STATISTA</t>
        </is>
      </c>
      <c r="B41" s="80" t="inlineStr">
        <is>
          <t>ST05</t>
        </is>
      </c>
      <c r="C41" s="80" t="inlineStr">
        <is>
          <t>Fintech vs traditional FI — 56% vs 34%</t>
        </is>
      </c>
      <c r="D41" s="80" t="inlineStr">
        <is>
          <t>AI-native gap</t>
        </is>
      </c>
    </row>
    <row r="42" ht="15" customHeight="1" s="70">
      <c r="A42" s="81" t="inlineStr">
        <is>
          <t>STATISTA</t>
        </is>
      </c>
      <c r="B42" s="81" t="inlineStr">
        <is>
          <t>ST06</t>
        </is>
      </c>
      <c r="C42" s="81" t="inlineStr">
        <is>
          <t>FinServ workforce impact — 44% minimal</t>
        </is>
      </c>
      <c r="D42" s="81" t="inlineStr">
        <is>
          <t>Anti-replacement</t>
        </is>
      </c>
    </row>
    <row r="43" ht="15" customHeight="1" s="70">
      <c r="A43" s="80" t="inlineStr">
        <is>
          <t>STATISTA</t>
        </is>
      </c>
      <c r="B43" s="80" t="inlineStr">
        <is>
          <t>ST07</t>
        </is>
      </c>
      <c r="C43" s="80" t="inlineStr">
        <is>
          <t>Front-office captures 38.4% of GenAI value</t>
        </is>
      </c>
      <c r="D43" s="80" t="inlineStr">
        <is>
          <t>Where value sits</t>
        </is>
      </c>
    </row>
    <row r="44" ht="15" customHeight="1" s="70">
      <c r="A44" s="81" t="inlineStr">
        <is>
          <t>STATISTA</t>
        </is>
      </c>
      <c r="B44" s="81" t="inlineStr">
        <is>
          <t>ST08</t>
        </is>
      </c>
      <c r="C44" s="81" t="inlineStr">
        <is>
          <t>Buyer pricing preferences (consumption 55%)</t>
        </is>
      </c>
      <c r="D44" s="81" t="inlineStr">
        <is>
          <t>Pricing reality</t>
        </is>
      </c>
    </row>
    <row r="45" ht="15" customHeight="1" s="70">
      <c r="A45" s="80" t="inlineStr">
        <is>
          <t>STATISTA</t>
        </is>
      </c>
      <c r="B45" s="80" t="inlineStr">
        <is>
          <t>ST09</t>
        </is>
      </c>
      <c r="C45" s="80" t="inlineStr">
        <is>
          <t>Hourly billing outlook — 44% expect shrinkage</t>
        </is>
      </c>
      <c r="D45" s="80" t="inlineStr">
        <is>
          <t>Services pricing</t>
        </is>
      </c>
    </row>
    <row r="46" ht="15" customHeight="1" s="70">
      <c r="A46" s="81" t="inlineStr">
        <is>
          <t>STATISTA</t>
        </is>
      </c>
      <c r="B46" s="81" t="inlineStr">
        <is>
          <t>ST10</t>
        </is>
      </c>
      <c r="C46" s="81" t="inlineStr">
        <is>
          <t>US labour productivity — 1.5–2.9% range</t>
        </is>
      </c>
      <c r="D46" s="81" t="inlineStr">
        <is>
          <t>Macro range</t>
        </is>
      </c>
    </row>
    <row r="47" ht="15" customHeight="1" s="70">
      <c r="A47" s="80" t="inlineStr">
        <is>
          <t>ANTI-HYPE</t>
        </is>
      </c>
      <c r="B47" s="80" t="inlineStr">
        <is>
          <t>HY01</t>
        </is>
      </c>
      <c r="C47" s="80" t="inlineStr">
        <is>
          <t>AI maximalist claims vs measured reality</t>
        </is>
      </c>
      <c r="D47" s="80" t="inlineStr">
        <is>
          <t>Hype tracker</t>
        </is>
      </c>
    </row>
    <row r="48" ht="15" customHeight="1" s="70">
      <c r="A48" s="81" t="inlineStr">
        <is>
          <t>ANTI-HYPE</t>
        </is>
      </c>
      <c r="B48" s="81" t="inlineStr">
        <is>
          <t>HY02</t>
        </is>
      </c>
      <c r="C48" s="81" t="inlineStr">
        <is>
          <t>Anthropic Economic Index — augmentation &gt; automation</t>
        </is>
      </c>
      <c r="D48" s="81" t="inlineStr">
        <is>
          <t>Hype tracker</t>
        </is>
      </c>
    </row>
    <row r="49" ht="23.25" customHeight="1" s="70">
      <c r="A49" s="80" t="inlineStr">
        <is>
          <t>VALUE INDEX</t>
        </is>
      </c>
      <c r="B49" s="80" t="inlineStr">
        <is>
          <t>VI01</t>
        </is>
      </c>
      <c r="C49" s="80" t="inlineStr">
        <is>
          <t>Value Index — common denominator across sectors</t>
        </is>
      </c>
      <c r="D49" s="80" t="inlineStr">
        <is>
          <t>Framework</t>
        </is>
      </c>
    </row>
    <row r="50" ht="23.25" customHeight="1" s="70">
      <c r="A50" s="81" t="inlineStr">
        <is>
          <t>VALUE INDEX</t>
        </is>
      </c>
      <c r="B50" s="81" t="inlineStr">
        <is>
          <t>VI02</t>
        </is>
      </c>
      <c r="C50" s="81" t="inlineStr">
        <is>
          <t>Revenue uplift vs cost decrease asymmetry</t>
        </is>
      </c>
      <c r="D50" s="81" t="inlineStr">
        <is>
          <t>Framework</t>
        </is>
      </c>
    </row>
    <row r="51" ht="23.25" customHeight="1" s="70">
      <c r="A51" s="80" t="inlineStr">
        <is>
          <t>VALUE INDEX</t>
        </is>
      </c>
      <c r="B51" s="80" t="inlineStr">
        <is>
          <t>VI03</t>
        </is>
      </c>
      <c r="C51" s="80" t="inlineStr">
        <is>
          <t>Vendor pricing-page framing — 60% cost-side</t>
        </is>
      </c>
      <c r="D51" s="80" t="inlineStr">
        <is>
          <t>Market reference</t>
        </is>
      </c>
    </row>
    <row r="52" ht="23.25" customHeight="1" s="70">
      <c r="A52" s="81" t="inlineStr">
        <is>
          <t>REPLACEABILITY</t>
        </is>
      </c>
      <c r="B52" s="81" t="inlineStr">
        <is>
          <t>PR01</t>
        </is>
      </c>
      <c r="C52" s="81" t="inlineStr">
        <is>
          <t>Replaceability × Pricing model matrix</t>
        </is>
      </c>
      <c r="D52" s="81" t="inlineStr">
        <is>
          <t>Pricing framework</t>
        </is>
      </c>
    </row>
    <row r="53" ht="23.25" customHeight="1" s="70">
      <c r="A53" s="80" t="inlineStr">
        <is>
          <t>REPLACEABILITY</t>
        </is>
      </c>
      <c r="B53" s="80" t="inlineStr">
        <is>
          <t>PR02</t>
        </is>
      </c>
      <c r="C53" s="80" t="inlineStr">
        <is>
          <t>SaaS by vertical — pricing model decision tree</t>
        </is>
      </c>
      <c r="D53" s="80" t="inlineStr">
        <is>
          <t>Commercial output</t>
        </is>
      </c>
    </row>
    <row r="54" ht="15" customHeight="1" s="70">
      <c r="A54" s="80" t="inlineStr">
        <is>
          <t>STATISTA</t>
        </is>
      </c>
      <c r="B54" s="80" t="inlineStr">
        <is>
          <t>ST11</t>
        </is>
      </c>
      <c r="C54" s="80" t="inlineStr">
        <is>
          <t>Industry × function GenAI value heatmap</t>
        </is>
      </c>
      <c r="D54" s="80" t="inlineStr">
        <is>
          <t>Cross-tab evidence</t>
        </is>
      </c>
    </row>
    <row r="55" ht="23.25" customHeight="1" s="70">
      <c r="A55" s="81" t="inlineStr">
        <is>
          <t>EXEC SUMMARY</t>
        </is>
      </c>
      <c r="B55" s="81" t="inlineStr">
        <is>
          <t>EX01</t>
        </is>
      </c>
      <c r="C55" s="81" t="inlineStr">
        <is>
          <t>TL;DR — ~30% automation, 10–30% cost, 5–20% revenue</t>
        </is>
      </c>
      <c r="D55" s="81" t="inlineStr">
        <is>
          <t>Bulletproof one-pager</t>
        </is>
      </c>
    </row>
    <row r="56" ht="23.25" customHeight="1" s="70">
      <c r="A56" s="80" t="inlineStr">
        <is>
          <t>INDEX (CAPSTONE)</t>
        </is>
      </c>
      <c r="B56" s="80" t="inlineStr">
        <is>
          <t>IDX01</t>
        </is>
      </c>
      <c r="C56" s="80" t="inlineStr">
        <is>
          <t>Value Increase Index (VII) — THE common denominator</t>
        </is>
      </c>
      <c r="D56" s="80" t="inlineStr">
        <is>
          <t>Capstone</t>
        </is>
      </c>
    </row>
    <row r="57" ht="23.25" customHeight="1" s="70">
      <c r="A57" s="81" t="inlineStr">
        <is>
          <t>INDEX (CAPSTONE)</t>
        </is>
      </c>
      <c r="B57" s="81" t="inlineStr">
        <is>
          <t>IDX02</t>
        </is>
      </c>
      <c r="C57" s="81" t="inlineStr">
        <is>
          <t>Vendor capture worked example (live calculator)</t>
        </is>
      </c>
      <c r="D57" s="81" t="inlineStr">
        <is>
          <t>Pricing math</t>
        </is>
      </c>
    </row>
    <row r="58" ht="15" customHeight="1" s="70">
      <c r="A58" s="80" t="inlineStr">
        <is>
          <t>STATISTA</t>
        </is>
      </c>
      <c r="B58" s="80" t="inlineStr">
        <is>
          <t>ST12</t>
        </is>
      </c>
      <c r="C58" s="80" t="inlineStr">
        <is>
          <t>Capital markets 72% hours impacted (Accenture)</t>
        </is>
      </c>
      <c r="D58" s="80" t="inlineStr">
        <is>
          <t>Sector evidence</t>
        </is>
      </c>
    </row>
    <row r="59" ht="15" customHeight="1" s="70">
      <c r="A59" s="81" t="inlineStr">
        <is>
          <t>STATISTA</t>
        </is>
      </c>
      <c r="B59" s="81" t="inlineStr">
        <is>
          <t>ST13</t>
        </is>
      </c>
      <c r="C59" s="81" t="inlineStr">
        <is>
          <t>Fintech profitability — 27% significant, 50% modest</t>
        </is>
      </c>
      <c r="D59" s="81" t="inlineStr">
        <is>
          <t>Sector evidence</t>
        </is>
      </c>
    </row>
    <row r="60">
      <c r="A60" s="82" t="inlineStr">
        <is>
          <t>MACRO MATH</t>
        </is>
      </c>
      <c r="B60" s="82" t="inlineStr">
        <is>
          <t>CX01</t>
        </is>
      </c>
      <c r="C60" s="82" t="inlineStr">
        <is>
          <t>CapEx vs productivity — the math doesn't add up</t>
        </is>
      </c>
      <c r="D60" s="82" t="inlineStr">
        <is>
          <t>Hype rebuttal</t>
        </is>
      </c>
    </row>
    <row r="61">
      <c r="A61" s="83" t="inlineStr">
        <is>
          <t>MACRO MATH</t>
        </is>
      </c>
      <c r="B61" s="83" t="inlineStr">
        <is>
          <t>HX01</t>
        </is>
      </c>
      <c r="C61" s="83" t="inlineStr">
        <is>
          <t>Industrial revolutions comparison (steam → AI)</t>
        </is>
      </c>
      <c r="D61" s="83" t="inlineStr">
        <is>
          <t>Historical context</t>
        </is>
      </c>
    </row>
    <row r="62">
      <c r="A62" s="82" t="n"/>
      <c r="B62" s="82" t="n"/>
      <c r="C62" s="82" t="n"/>
      <c r="D62" s="82" t="n"/>
    </row>
    <row r="63">
      <c r="A63" s="82" t="n"/>
      <c r="B63" s="82" t="n"/>
      <c r="C63" s="82" t="n"/>
      <c r="D63" s="82" t="n"/>
    </row>
    <row r="64">
      <c r="A64" s="82" t="inlineStr">
        <is>
          <t>VALUESHIPS QUADRANT</t>
        </is>
      </c>
      <c r="B64" s="82" t="inlineStr">
        <is>
          <t>VPQ01</t>
        </is>
      </c>
      <c r="C64" s="82" t="inlineStr">
        <is>
          <t>Valueships VII Pricing Quadrant™ — master pricing framework</t>
        </is>
      </c>
      <c r="D64" s="82" t="inlineStr">
        <is>
          <t>Capstone framework</t>
        </is>
      </c>
    </row>
    <row r="65">
      <c r="A65" s="82" t="inlineStr">
        <is>
          <t>VS PROPRIETARY</t>
        </is>
      </c>
      <c r="B65" s="82" t="inlineStr">
        <is>
          <t>LAD01</t>
        </is>
      </c>
      <c r="C65" s="82" t="inlineStr">
        <is>
          <t>Valueships Historical Productivity Ladder</t>
        </is>
      </c>
      <c r="D65" s="82" t="inlineStr">
        <is>
          <t>Macro proof</t>
        </is>
      </c>
    </row>
    <row r="66">
      <c r="A66" s="82" t="inlineStr">
        <is>
          <t>VS PROPRIETARY</t>
        </is>
      </c>
      <c r="B66" s="82" t="inlineStr">
        <is>
          <t>AAR01</t>
        </is>
      </c>
      <c r="C66" s="82" t="inlineStr">
        <is>
          <t>Adoption-Adjusted Revolution Test (5 criteria)</t>
        </is>
      </c>
      <c r="D66" s="82" t="inlineStr">
        <is>
          <t>Macro proof</t>
        </is>
      </c>
    </row>
    <row r="67">
      <c r="A67" s="198" t="inlineStr">
        <is>
          <t>VS PROPRIETARY</t>
        </is>
      </c>
      <c r="B67" s="198" t="inlineStr">
        <is>
          <t>SPD01</t>
        </is>
      </c>
      <c r="C67" s="198" t="inlineStr">
        <is>
          <t>Productivity normalised by information speed</t>
        </is>
      </c>
      <c r="D67" s="198" t="inlineStr">
        <is>
          <t>Macro proof</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4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8" customWidth="1" style="69" min="1" max="1"/>
    <col width="22" customWidth="1" style="69" min="2" max="3"/>
    <col width="14" customWidth="1" style="69" min="4" max="8"/>
  </cols>
  <sheetData>
    <row r="1" ht="31.5" customHeight="1" s="70">
      <c r="A1" s="78" t="inlineStr">
        <is>
          <t>EX01  |  TL;DR — AI today: ~30% task automation, 10–30% cost reduction, 5–20% revenue lift (FinServ); not universal 10x</t>
        </is>
      </c>
    </row>
    <row r="2" ht="21.75" customHeight="1" s="70">
      <c r="A2" s="84" t="inlineStr">
        <is>
          <t>What is the bulletproof one-page executive summary of AI's quantified value and its pricing implications?</t>
        </is>
      </c>
    </row>
    <row r="4" ht="99.75" customHeight="1" s="70">
      <c r="A4" s="75" t="inlineStr">
        <is>
          <t>TL;DR (Statista-aligned synthesis)  |  AI delivers ~30% of work task automation today, 10–30% operational cost reductions, and 5–20% revenue increases in selected use cases (FinServ). Gains are substantial but uneven; not '10x' improvements. AI pricing is shifting from per-seat toward consumption (55% of buyers prefer) and value-linked models — outcome-based only 17% preferred. Pricing power concentrates in: (a) replacement of expensive expert labour, (b) revenue-attributable workflows, (c) operational bottleneck optimisation.</t>
        </is>
      </c>
    </row>
    <row r="6" ht="15" customHeight="1" s="70">
      <c r="A6" s="85" t="inlineStr">
        <is>
          <t>The three headline numbers</t>
        </is>
      </c>
    </row>
    <row r="7" ht="15" customHeight="1" s="70">
      <c r="A7" s="79" t="inlineStr">
        <is>
          <t>Pillar</t>
        </is>
      </c>
      <c r="B7" s="79" t="inlineStr">
        <is>
          <t>Range</t>
        </is>
      </c>
      <c r="C7" s="79" t="inlineStr">
        <is>
          <t>Definition</t>
        </is>
      </c>
      <c r="D7" s="79" t="inlineStr">
        <is>
          <t>Anchor source</t>
        </is>
      </c>
    </row>
    <row r="8" ht="34.5" customHeight="1" s="70">
      <c r="A8" s="86" t="inlineStr">
        <is>
          <t>Task automation</t>
        </is>
      </c>
      <c r="B8" s="87" t="inlineStr">
        <is>
          <t>~30%</t>
        </is>
      </c>
      <c r="C8" s="87" t="inlineStr">
        <is>
          <t>Tasks currently automated by AI (executives)</t>
        </is>
      </c>
      <c r="D8" s="87" t="inlineStr">
        <is>
          <t>Statista 1619156 / Capgemini</t>
        </is>
      </c>
    </row>
    <row r="9" ht="45.75" customHeight="1" s="70">
      <c r="A9" s="88" t="inlineStr">
        <is>
          <t>Cost reduction</t>
        </is>
      </c>
      <c r="B9" s="89" t="inlineStr">
        <is>
          <t>10–30%</t>
        </is>
      </c>
      <c r="C9" s="89" t="inlineStr">
        <is>
          <t>Typical operational cost reductions</t>
        </is>
      </c>
      <c r="D9" s="89" t="inlineStr">
        <is>
          <t>Statista 1610952 + McKinsey State of AI 2025</t>
        </is>
      </c>
    </row>
    <row r="10" ht="23.25" customHeight="1" s="70">
      <c r="A10" s="86" t="inlineStr">
        <is>
          <t>Revenue lift (where it occurs)</t>
        </is>
      </c>
      <c r="B10" s="87" t="inlineStr">
        <is>
          <t>5–20%</t>
        </is>
      </c>
      <c r="C10" s="87" t="inlineStr">
        <is>
          <t>FinServ revenue band where AI delivers</t>
        </is>
      </c>
      <c r="D10" s="87" t="inlineStr">
        <is>
          <t>Statista 1254724</t>
        </is>
      </c>
    </row>
    <row r="11" ht="23.25" customHeight="1" s="70">
      <c r="A11" s="88" t="inlineStr">
        <is>
          <t>Macro productivity uplift</t>
        </is>
      </c>
      <c r="B11" s="89" t="inlineStr">
        <is>
          <t>1.5–2.9% / yr</t>
        </is>
      </c>
      <c r="C11" s="89" t="inlineStr">
        <is>
          <t>US labour productivity scenario range</t>
        </is>
      </c>
      <c r="D11" s="89" t="inlineStr">
        <is>
          <t>Statista 1378626</t>
        </is>
      </c>
    </row>
    <row r="12" ht="23.25" customHeight="1" s="70">
      <c r="A12" s="86" t="inlineStr">
        <is>
          <t>Workforce displacement (FinServ 3-yr)</t>
        </is>
      </c>
      <c r="B12" s="87" t="inlineStr">
        <is>
          <t>26% see significant, 74% minimal/unsure</t>
        </is>
      </c>
      <c r="C12" s="87" t="inlineStr">
        <is>
          <t>Reality vs Amodei 50% claim</t>
        </is>
      </c>
      <c r="D12" s="87" t="inlineStr">
        <is>
          <t>Statista 1661260</t>
        </is>
      </c>
    </row>
    <row r="14" ht="15" customHeight="1" s="70">
      <c r="A14" s="85" t="inlineStr">
        <is>
          <t>Where AI value concentrates</t>
        </is>
      </c>
    </row>
    <row r="15" ht="15" customHeight="1" s="70">
      <c r="A15" s="79" t="inlineStr">
        <is>
          <t>Industry</t>
        </is>
      </c>
      <c r="B15" s="79" t="inlineStr">
        <is>
          <t>Primary function</t>
        </is>
      </c>
      <c r="C15" s="79" t="inlineStr">
        <is>
          <t>% of value</t>
        </is>
      </c>
      <c r="D15" s="79" t="inlineStr">
        <is>
          <t>Use case</t>
        </is>
      </c>
    </row>
    <row r="16" ht="23.25" customHeight="1" s="70">
      <c r="A16" s="86" t="inlineStr">
        <is>
          <t>Healthcare &amp; Life Sciences</t>
        </is>
      </c>
      <c r="B16" s="87" t="inlineStr">
        <is>
          <t>Front Office</t>
        </is>
      </c>
      <c r="C16" s="87" t="inlineStr">
        <is>
          <t>33.5%</t>
        </is>
      </c>
      <c r="D16" s="87" t="inlineStr">
        <is>
          <t>Patient/clinical knowledge work</t>
        </is>
      </c>
    </row>
    <row r="17" ht="23.25" customHeight="1" s="70">
      <c r="A17" s="88" t="inlineStr">
        <is>
          <t>Financial Services</t>
        </is>
      </c>
      <c r="B17" s="89" t="inlineStr">
        <is>
          <t>Front Office</t>
        </is>
      </c>
      <c r="C17" s="89" t="inlineStr">
        <is>
          <t>38.4%</t>
        </is>
      </c>
      <c r="D17" s="89" t="inlineStr">
        <is>
          <t>Advisory, customer ops</t>
        </is>
      </c>
    </row>
    <row r="18" ht="23.25" customHeight="1" s="70">
      <c r="A18" s="86" t="inlineStr">
        <is>
          <t>Industrial Manufacturing</t>
        </is>
      </c>
      <c r="B18" s="87" t="inlineStr">
        <is>
          <t>Supply Chain</t>
        </is>
      </c>
      <c r="C18" s="87" t="inlineStr">
        <is>
          <t>32.8%</t>
        </is>
      </c>
      <c r="D18" s="87" t="inlineStr">
        <is>
          <t>Planning, forecasting, ops</t>
        </is>
      </c>
    </row>
    <row r="19" ht="23.25" customHeight="1" s="70">
      <c r="A19" s="88" t="inlineStr">
        <is>
          <t>Technology, Media &amp; Telecom</t>
        </is>
      </c>
      <c r="B19" s="89" t="inlineStr">
        <is>
          <t>IT</t>
        </is>
      </c>
      <c r="C19" s="89" t="inlineStr">
        <is>
          <t>29.6%</t>
        </is>
      </c>
      <c r="D19" s="89" t="inlineStr">
        <is>
          <t>Software development</t>
        </is>
      </c>
    </row>
    <row r="20" ht="23.25" customHeight="1" s="70">
      <c r="A20" s="86" t="inlineStr">
        <is>
          <t>Consumer &amp; Retail</t>
        </is>
      </c>
      <c r="B20" s="87" t="inlineStr">
        <is>
          <t>Sales</t>
        </is>
      </c>
      <c r="C20" s="87" t="inlineStr">
        <is>
          <t>30.5%</t>
        </is>
      </c>
      <c r="D20" s="87" t="inlineStr">
        <is>
          <t>Personalisation, conversion</t>
        </is>
      </c>
    </row>
    <row r="21" ht="23.25" customHeight="1" s="70">
      <c r="A21" s="88" t="inlineStr">
        <is>
          <t>Energy &amp; Chemicals</t>
        </is>
      </c>
      <c r="B21" s="89" t="inlineStr">
        <is>
          <t>Supply Chain</t>
        </is>
      </c>
      <c r="C21" s="89" t="inlineStr">
        <is>
          <t>31.2%</t>
        </is>
      </c>
      <c r="D21" s="89" t="inlineStr">
        <is>
          <t>Yield, asset optimisation</t>
        </is>
      </c>
    </row>
    <row r="22" ht="34.5" customHeight="1" s="70">
      <c r="A22" s="86" t="inlineStr">
        <is>
          <t>Professional Services</t>
        </is>
      </c>
      <c r="B22" s="87" t="inlineStr">
        <is>
          <t>Front Office</t>
        </is>
      </c>
      <c r="C22" s="87" t="inlineStr">
        <is>
          <t>31.0%</t>
        </is>
      </c>
      <c r="D22" s="87" t="inlineStr">
        <is>
          <t>Client deliverable production</t>
        </is>
      </c>
    </row>
    <row r="24" ht="15" customHeight="1" s="70">
      <c r="A24" s="85" t="inlineStr">
        <is>
          <t>What this means for AI pricing strategy</t>
        </is>
      </c>
    </row>
    <row r="25" ht="15" customHeight="1" s="70">
      <c r="A25" s="79" t="inlineStr">
        <is>
          <t>Topic</t>
        </is>
      </c>
      <c r="B25" s="79" t="inlineStr">
        <is>
          <t>Finding</t>
        </is>
      </c>
      <c r="C25" s="79" t="inlineStr">
        <is>
          <t>Source</t>
        </is>
      </c>
    </row>
    <row r="26" ht="45.75" customHeight="1" s="70">
      <c r="A26" s="86" t="inlineStr">
        <is>
          <t>Buyer preference</t>
        </is>
      </c>
      <c r="B26" s="86" t="inlineStr">
        <is>
          <t>Consumption 55% &gt; Platform 43% &gt; License 37% &gt; Tier 33% &gt; Outcome 17%</t>
        </is>
      </c>
      <c r="C26" s="86" t="inlineStr">
        <is>
          <t>Statista 1620734</t>
        </is>
      </c>
    </row>
    <row r="27" ht="45.75" customHeight="1" s="70">
      <c r="A27" s="88" t="inlineStr">
        <is>
          <t>Pricing power strongest</t>
        </is>
      </c>
      <c r="B27" s="88" t="inlineStr">
        <is>
          <t>High-value workflows replacing expert labour OR driving measurable revenue</t>
        </is>
      </c>
      <c r="C27" s="88" t="inlineStr">
        <is>
          <t>VBP literature</t>
        </is>
      </c>
    </row>
    <row r="28" ht="34.5" customHeight="1" s="70">
      <c r="A28" s="86" t="inlineStr">
        <is>
          <t>Pricing power weakest</t>
        </is>
      </c>
      <c r="B28" s="86" t="inlineStr">
        <is>
          <t>Generic productivity tools claiming cross-sector productivity uplift</t>
        </is>
      </c>
      <c r="C28" s="86" t="inlineStr">
        <is>
          <t>VBP literature + ST08</t>
        </is>
      </c>
    </row>
    <row r="29" ht="23.25" customHeight="1" s="70">
      <c r="A29" s="88" t="inlineStr">
        <is>
          <t>Per-seat trajectory</t>
        </is>
      </c>
      <c r="B29" s="88" t="inlineStr">
        <is>
          <t>Declining (60% → 30% over decade)</t>
        </is>
      </c>
      <c r="C29" s="88" t="inlineStr">
        <is>
          <t>Bloomberg / Monetizely</t>
        </is>
      </c>
    </row>
    <row r="30" ht="23.25" customHeight="1" s="70">
      <c r="A30" s="86" t="inlineStr">
        <is>
          <t>Outcome-based trajectory</t>
        </is>
      </c>
      <c r="B30" s="86" t="inlineStr">
        <is>
          <t>Growing but capped by attribution complexity</t>
        </is>
      </c>
      <c r="C30" s="86" t="inlineStr">
        <is>
          <t>Intercom Fin proof case</t>
        </is>
      </c>
    </row>
    <row r="31" ht="23.25" customHeight="1" s="70">
      <c r="A31" s="88" t="inlineStr">
        <is>
          <t>Hourly billing trajectory</t>
        </is>
      </c>
      <c r="B31" s="88" t="inlineStr">
        <is>
          <t>Only 44% expect shrinkage in 5yrs</t>
        </is>
      </c>
      <c r="C31" s="88" t="inlineStr">
        <is>
          <t>Statista 1482387 — slow displacement</t>
        </is>
      </c>
    </row>
    <row r="32" ht="45.75" customHeight="1" s="70">
      <c r="A32" s="86" t="inlineStr">
        <is>
          <t>Value-frame issue</t>
        </is>
      </c>
      <c r="B32" s="86" t="inlineStr">
        <is>
          <t>80–100% of AI value is COST-SIDE; buyers prefer REVENUE-SIDE arguments</t>
        </is>
      </c>
      <c r="C32" s="86" t="inlineStr">
        <is>
          <t>Hinterhuber / Anderson-Narus</t>
        </is>
      </c>
    </row>
    <row r="33" ht="34.5" customHeight="1" s="70">
      <c r="A33" s="88" t="inlineStr">
        <is>
          <t>Replaceability gate</t>
        </is>
      </c>
      <c r="B33" s="88" t="inlineStr">
        <is>
          <t>High replaceability → outcome / credit; Low → seat-based</t>
        </is>
      </c>
      <c r="C33" s="88" t="inlineStr">
        <is>
          <t>PR01 framework</t>
        </is>
      </c>
    </row>
    <row r="35" ht="94.5" customHeight="1" s="70">
      <c r="A35" s="90" t="inlineStr">
        <is>
          <t>Insight  |  Bottom line: AI is a 2x productivity factor on AI-fit tasks (not 10x). Pricing strategy should follow the evidence — consumption-based for broad adoption, outcome-based for narrow clean-attribution cases, gainsharing for measurable cost displacement, premium per-seat for regulated/specialist work. Reject Altman/Amodei/Huang maximalist framing in pricing arguments — it has not survived public-record testing (Salesforce, Klarna). Reframe cost-side AI value as REVENUE CAPACITY to win buyer attention.</t>
        </is>
      </c>
    </row>
    <row r="36" ht="27.75" customHeight="1" s="70">
      <c r="A36" s="77" t="inlineStr">
        <is>
          <t>Source  |  Statista Research AI session (full)  —  https://www.statista.com/research-ai/chat/019e1f8f-6f89-7813-9686-730f97cc93af</t>
        </is>
      </c>
    </row>
    <row r="37" ht="27.75" customHeight="1" s="70">
      <c r="A37" s="77" t="inlineStr">
        <is>
          <t>Source  |  Statista 1619156  —  https://www.statista.com/statistics/1619156/ai-task-automation-trends-among-employees-global/</t>
        </is>
      </c>
    </row>
    <row r="38" ht="27.75" customHeight="1" s="70">
      <c r="A38" s="77" t="inlineStr">
        <is>
          <t>Source  |  Statista 1610952  —  https://www.statista.com/statistics/1610952/cost-decrease-by-ai-analytics-enterprise/</t>
        </is>
      </c>
    </row>
    <row r="39" ht="27.75" customHeight="1" s="70">
      <c r="A39" s="77" t="inlineStr">
        <is>
          <t>Source  |  Statista 1254724  —  https://www.statista.com/statistics/1254724/revenue-impact-of-ai-financial-services/</t>
        </is>
      </c>
    </row>
    <row r="40" ht="27.75" customHeight="1" s="70">
      <c r="A40" s="77" t="inlineStr">
        <is>
          <t>Source  |  Statista 1620734  —  https://www.statista.com/statistics/1620734/adoption-of-pricing-models-for-agentic-ai-tools/</t>
        </is>
      </c>
    </row>
    <row r="41" ht="27.75" customHeight="1" s="70">
      <c r="A41" s="77" t="inlineStr">
        <is>
          <t>Source  |  Statista 1378626  —  https://www.statista.com/statistics/1378626/growth-of-labor-productivity-ai-adoption-2023/</t>
        </is>
      </c>
    </row>
  </sheetData>
  <mergeCells count="10">
    <mergeCell ref="A4:H4"/>
    <mergeCell ref="A39:H39"/>
    <mergeCell ref="A35:H35"/>
    <mergeCell ref="A38:H38"/>
    <mergeCell ref="A2:H2"/>
    <mergeCell ref="A41:H41"/>
    <mergeCell ref="A36:H36"/>
    <mergeCell ref="A1:H1"/>
    <mergeCell ref="A37:H37"/>
    <mergeCell ref="A40:H40"/>
  </mergeCells>
  <hyperlinks>
    <hyperlink xmlns:r="http://schemas.openxmlformats.org/officeDocument/2006/relationships" ref="A36" display="Source  |  Statista Research AI session (full)  —  https://www.statista.com/research-ai/chat/019e1f8f-6f89-7813-9686-730f97cc93af" r:id="rId1"/>
    <hyperlink xmlns:r="http://schemas.openxmlformats.org/officeDocument/2006/relationships" ref="A37" display="Source  |  Statista 1619156  —  https://www.statista.com/statistics/1619156/ai-task-automation-trends-among-employees-global/" r:id="rId2"/>
    <hyperlink xmlns:r="http://schemas.openxmlformats.org/officeDocument/2006/relationships" ref="A38" display="Source  |  Statista 1610952  —  https://www.statista.com/statistics/1610952/cost-decrease-by-ai-analytics-enterprise/" r:id="rId3"/>
    <hyperlink xmlns:r="http://schemas.openxmlformats.org/officeDocument/2006/relationships" ref="A39" display="Source  |  Statista 1254724  —  https://www.statista.com/statistics/1254724/revenue-impact-of-ai-financial-services/" r:id="rId4"/>
    <hyperlink xmlns:r="http://schemas.openxmlformats.org/officeDocument/2006/relationships" ref="A40" display="Source  |  Statista 1620734  —  https://www.statista.com/statistics/1620734/adoption-of-pricing-models-for-agentic-ai-tools/" r:id="rId5"/>
    <hyperlink xmlns:r="http://schemas.openxmlformats.org/officeDocument/2006/relationships" ref="A41" display="Source  |  Statista 1378626  —  https://www.statista.com/statistics/1378626/growth-of-labor-productivity-ai-adoption-2023/" r:id="rId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style="70" min="1" max="1"/>
    <col width="16" customWidth="1" style="70" min="2" max="2"/>
    <col width="16" customWidth="1" style="70" min="3" max="3"/>
    <col width="18" customWidth="1" style="70" min="4" max="4"/>
    <col width="30" customWidth="1" style="70" min="5" max="5"/>
    <col width="14" customWidth="1" style="70" min="6" max="6"/>
    <col width="14" customWidth="1" style="70" min="7" max="7"/>
    <col width="14" customWidth="1" style="70" min="8" max="8"/>
    <col width="14" customWidth="1" style="70" min="9" max="9"/>
    <col width="14" customWidth="1" style="70" min="10" max="10"/>
  </cols>
  <sheetData>
    <row r="1" ht="32" customHeight="1" s="70">
      <c r="A1" s="125" t="inlineStr">
        <is>
          <t>LAD01  |  Valueships Historical Productivity Ladder — AI is not yet an electric-scale revolution (Acemoglu 0.09 % vs Electric 2.82 %)</t>
        </is>
      </c>
    </row>
    <row r="2" ht="22" customHeight="1" s="70">
      <c r="A2" s="126" t="inlineStr">
        <is>
          <t>Annual labour productivity / macro signal across major productivity waves. LLM-era AI sits 30× below electrification.</t>
        </is>
      </c>
    </row>
    <row r="4">
      <c r="A4" s="127" t="inlineStr">
        <is>
          <t>The ladder — indicative annual productivity / macro signal</t>
        </is>
      </c>
    </row>
    <row r="5">
      <c r="A5" s="128" t="inlineStr">
        <is>
          <t>Wave</t>
        </is>
      </c>
      <c r="B5" s="128" t="inlineStr">
        <is>
          <t>Period</t>
        </is>
      </c>
      <c r="C5" s="128" t="inlineStr">
        <is>
          <t>Indicative annual % signal</t>
        </is>
      </c>
      <c r="D5" s="128" t="inlineStr">
        <is>
          <t>Direction vs LLM-era AI</t>
        </is>
      </c>
      <c r="E5" s="128" t="inlineStr">
        <is>
          <t>Source note</t>
        </is>
      </c>
    </row>
    <row r="6">
      <c r="A6" s="129" t="inlineStr">
        <is>
          <t>Agrarian constraint</t>
        </is>
      </c>
      <c r="B6" s="130" t="inlineStr">
        <is>
          <t>post-1600</t>
        </is>
      </c>
      <c r="C6" s="179" t="n">
        <v>0.3</v>
      </c>
      <c r="D6" s="130" t="inlineStr">
        <is>
          <t>~3× higher than LLM-era AI</t>
        </is>
      </c>
      <c r="E6" s="130" t="inlineStr">
        <is>
          <t>Hoover Institution summary, English productivity</t>
        </is>
      </c>
    </row>
    <row r="7">
      <c r="A7" s="131" t="inlineStr">
        <is>
          <t>First industrial revolution</t>
        </is>
      </c>
      <c r="B7" s="132" t="inlineStr">
        <is>
          <t>1780–1860</t>
        </is>
      </c>
      <c r="C7" s="180" t="n">
        <v>0.78</v>
      </c>
      <c r="D7" s="132" t="inlineStr">
        <is>
          <t>~8× higher than LLM-era AI</t>
        </is>
      </c>
      <c r="E7" s="132" t="inlineStr">
        <is>
          <t>Crafts — British labour productivity</t>
        </is>
      </c>
    </row>
    <row r="8">
      <c r="A8" s="150" t="inlineStr">
        <is>
          <t>Electric / second industrial revolution</t>
        </is>
      </c>
      <c r="B8" s="181" t="inlineStr">
        <is>
          <t>1920–1970</t>
        </is>
      </c>
      <c r="C8" s="182" t="n">
        <v>2.82</v>
      </c>
      <c r="D8" s="181" t="inlineStr">
        <is>
          <t>~30× higher than LLM-era AI</t>
        </is>
      </c>
      <c r="E8" s="181" t="inlineStr">
        <is>
          <t>Gordon — US labour productivity, post-electrification</t>
        </is>
      </c>
    </row>
    <row r="9">
      <c r="A9" s="131" t="inlineStr">
        <is>
          <t>ICT baseline</t>
        </is>
      </c>
      <c r="B9" s="132" t="inlineStr">
        <is>
          <t>1970–2015</t>
        </is>
      </c>
      <c r="C9" s="180" t="n">
        <v>1.38</v>
      </c>
      <c r="D9" s="132" t="inlineStr">
        <is>
          <t>~15× higher than LLM-era AI</t>
        </is>
      </c>
      <c r="E9" s="132" t="inlineStr">
        <is>
          <t>Gordon — outside the 1994–2004 revival</t>
        </is>
      </c>
    </row>
    <row r="10">
      <c r="A10" s="129" t="inlineStr">
        <is>
          <t>ICT revival</t>
        </is>
      </c>
      <c r="B10" s="130" t="inlineStr">
        <is>
          <t>1994–2004</t>
        </is>
      </c>
      <c r="C10" s="179" t="n">
        <v>2.26</v>
      </c>
      <c r="D10" s="130" t="inlineStr">
        <is>
          <t>~25× higher than LLM-era AI</t>
        </is>
      </c>
      <c r="E10" s="130" t="inlineStr">
        <is>
          <t>Gordon — temporary US productivity revival</t>
        </is>
      </c>
    </row>
    <row r="11">
      <c r="A11" s="183" t="inlineStr">
        <is>
          <t>LLM-era AI (10-year view)</t>
        </is>
      </c>
      <c r="B11" s="184" t="inlineStr">
        <is>
          <t>2024–2034</t>
        </is>
      </c>
      <c r="C11" s="185" t="n">
        <v>0.09</v>
      </c>
      <c r="D11" s="184" t="inlineStr">
        <is>
          <t>BASELINE — Acemoglu MIT</t>
        </is>
      </c>
      <c r="E11" s="184" t="inlineStr">
        <is>
          <t>Acemoglu — annualised GDP impact; larger investment case ~0.18 %</t>
        </is>
      </c>
    </row>
    <row r="13">
      <c r="A13" s="127" t="inlineStr">
        <is>
          <t>Chart data</t>
        </is>
      </c>
    </row>
    <row r="14">
      <c r="A14" s="128" t="inlineStr">
        <is>
          <t>Wave</t>
        </is>
      </c>
      <c r="B14" s="128" t="inlineStr">
        <is>
          <t>Annual % signal</t>
        </is>
      </c>
    </row>
    <row r="15">
      <c r="A15" s="129" t="inlineStr">
        <is>
          <t>Agrarian constraint</t>
        </is>
      </c>
      <c r="B15" s="130" t="n">
        <v>0.3</v>
      </c>
    </row>
    <row r="16">
      <c r="A16" s="131" t="inlineStr">
        <is>
          <t>First industrial revolution</t>
        </is>
      </c>
      <c r="B16" s="132" t="n">
        <v>0.78</v>
      </c>
    </row>
    <row r="17">
      <c r="A17" s="129" t="inlineStr">
        <is>
          <t>Electric / second industrial revolution</t>
        </is>
      </c>
      <c r="B17" s="130" t="n">
        <v>2.82</v>
      </c>
    </row>
    <row r="18">
      <c r="A18" s="131" t="inlineStr">
        <is>
          <t>ICT baseline</t>
        </is>
      </c>
      <c r="B18" s="132" t="n">
        <v>1.38</v>
      </c>
    </row>
    <row r="19">
      <c r="A19" s="129" t="inlineStr">
        <is>
          <t>ICT revival</t>
        </is>
      </c>
      <c r="B19" s="130" t="n">
        <v>2.26</v>
      </c>
    </row>
    <row r="20">
      <c r="A20" s="131" t="inlineStr">
        <is>
          <t>LLM-era AI (10-year view)</t>
        </is>
      </c>
      <c r="B20" s="132" t="n">
        <v>0.09</v>
      </c>
    </row>
    <row r="21" ht="100" customHeight="1" s="70">
      <c r="A21" s="133" t="inlineStr">
        <is>
          <t>Insight  |  Electrification at peak delivered ~2.82 % annual labour productivity (1920–1970). Even the ICT revival (1994–2004) hit 2.26 %. Acemoglu's benchmark for LLM-era AI is 0.09 % per year — 30× below electrification, 25× below the ICT revival, 8× below the first industrial revolution. The chart's takeaway: gross AI looks like a revolution; net AI inside unrestructured organisations looks like a productivity tool. The macro picture does not yet support the claim that AI is a general-purpose-technology revolution of the same order as electricity. The historical comparison is the strongest single rebuttal of the maximalist narrative.</t>
        </is>
      </c>
    </row>
    <row r="22" ht="28" customHeight="1" s="70">
      <c r="A22" s="163" t="inlineStr">
        <is>
          <t>Source  |  Valueships Historical Productivity Ladder — chart + data CSV (Maciej Wilczyński, May 2026)</t>
        </is>
      </c>
    </row>
    <row r="23" ht="28" customHeight="1" s="70">
      <c r="A23" s="134" t="inlineStr">
        <is>
          <t>Source  |  Crafts — Productivity Growth in the Industrial Revolution (FRBSF)  —  https://www.frbsf.org/wp-content/uploads/crafts.pdf</t>
        </is>
      </c>
    </row>
    <row r="24" ht="28" customHeight="1" s="70">
      <c r="A24" s="163" t="inlineStr">
        <is>
          <t>Source  |  Gordon — Productivity Waves (IMF / Northwestern)</t>
        </is>
      </c>
    </row>
    <row r="25" ht="28" customHeight="1" s="70">
      <c r="A25" s="134" t="inlineStr">
        <is>
          <t>Source  |  Acemoglu — The Simple Macroeconomics of AI (NBER w32487)  —  https://www.nber.org/papers/w32487</t>
        </is>
      </c>
    </row>
    <row r="26" ht="28" customHeight="1" s="70">
      <c r="A26" s="163" t="inlineStr">
        <is>
          <t>Source  |  Hoover Institution — English productivity summary</t>
        </is>
      </c>
    </row>
  </sheetData>
  <mergeCells count="8">
    <mergeCell ref="A1:J1"/>
    <mergeCell ref="A23:J23"/>
    <mergeCell ref="A22:J22"/>
    <mergeCell ref="A21:J21"/>
    <mergeCell ref="A26:J26"/>
    <mergeCell ref="A24:J24"/>
    <mergeCell ref="A2:J2"/>
    <mergeCell ref="A25:J25"/>
  </mergeCells>
  <hyperlinks>
    <hyperlink xmlns:r="http://schemas.openxmlformats.org/officeDocument/2006/relationships" ref="A23" r:id="rId1"/>
    <hyperlink xmlns:r="http://schemas.openxmlformats.org/officeDocument/2006/relationships" ref="A25" r:id="rId2"/>
  </hyperlinks>
  <pageMargins left="0.75" right="0.75" top="1" bottom="1" header="0.5" footer="0.5"/>
  <drawing xmlns:r="http://schemas.openxmlformats.org/officeDocument/2006/relationships" r:id="rId3"/>
</worksheet>
</file>

<file path=xl/worksheets/sheet5.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22" customWidth="1" style="70" min="1" max="1"/>
    <col width="38" customWidth="1" style="70" min="2" max="2"/>
    <col width="30" customWidth="1" style="70" min="3" max="3"/>
    <col width="16" customWidth="1" style="70" min="4" max="4"/>
    <col width="14" customWidth="1" style="70" min="5" max="5"/>
    <col width="14" customWidth="1" style="70" min="6" max="6"/>
    <col width="14" customWidth="1" style="70" min="7" max="7"/>
    <col width="14" customWidth="1" style="70" min="8" max="8"/>
    <col width="14" customWidth="1" style="70" min="9" max="9"/>
    <col width="14" customWidth="1" style="70" min="10" max="10"/>
  </cols>
  <sheetData>
    <row r="1" ht="32" customHeight="1" s="70">
      <c r="A1" s="125" t="inlineStr">
        <is>
          <t>AAR01  |  Valueships Adoption-Adjusted Revolution Test — five criteria for whether a technology wave is a real productivity revolution</t>
        </is>
      </c>
    </row>
    <row r="2" ht="22" customHeight="1" s="70">
      <c r="A2" s="126" t="inlineStr">
        <is>
          <t>Apply the five tests to determine whether a technology wave produces a productivity revolution or a productivity tool.</t>
        </is>
      </c>
    </row>
    <row r="4">
      <c r="A4" s="127" t="inlineStr">
        <is>
          <t>The five tests — proprietary Valueships framework</t>
        </is>
      </c>
    </row>
    <row r="5">
      <c r="A5" s="128" t="inlineStr">
        <is>
          <t>Test</t>
        </is>
      </c>
      <c r="B5" s="128" t="inlineStr">
        <is>
          <t>Definition</t>
        </is>
      </c>
      <c r="C5" s="128" t="inlineStr">
        <is>
          <t>What it asks</t>
        </is>
      </c>
      <c r="D5" s="128" t="inlineStr">
        <is>
          <t>AI today — pass / fail</t>
        </is>
      </c>
    </row>
    <row r="6">
      <c r="A6" s="129" t="inlineStr">
        <is>
          <t>1. Constraint depth</t>
        </is>
      </c>
      <c r="B6" s="130" t="inlineStr">
        <is>
          <t>Is the technology removing a deep production bottleneck, or only cognitive friction?</t>
        </is>
      </c>
      <c r="C6" s="130" t="inlineStr">
        <is>
          <t>Does it lift a real binding constraint on output (energy, transport, materials, time)?</t>
        </is>
      </c>
      <c r="D6" s="186" t="inlineStr">
        <is>
          <t>Mostly cognitive friction → PARTIAL</t>
        </is>
      </c>
    </row>
    <row r="7">
      <c r="A7" s="131" t="inlineStr">
        <is>
          <t>2. Adoption-speed normalization</t>
        </is>
      </c>
      <c r="B7" s="132" t="inlineStr">
        <is>
          <t>If the technology diffuses in quarters, it is 'too early' — it cannot yet have produced multi-decade productivity gains.</t>
        </is>
      </c>
      <c r="C7" s="132" t="inlineStr">
        <is>
          <t>Adjust observed gains for the share of firms / workflows that have actually integrated it for &gt;2 years.</t>
        </is>
      </c>
      <c r="D7" s="184" t="inlineStr">
        <is>
          <t>Diffusion still in quarters → FAIL</t>
        </is>
      </c>
    </row>
    <row r="8">
      <c r="A8" s="129" t="inlineStr">
        <is>
          <t>3. Shop-floor rebuild</t>
        </is>
      </c>
      <c r="B8" s="130" t="inlineStr">
        <is>
          <t>Real productivity revolutions force redesign of workflows, roles, accountability, and operating systems.</t>
        </is>
      </c>
      <c r="C8" s="130" t="inlineStr">
        <is>
          <t>Has the buyer organisation reorganised around the technology, or bolted it onto existing structure?</t>
        </is>
      </c>
      <c r="D8" s="184" t="inlineStr">
        <is>
          <t>Bolted-on integration dominant → FAIL</t>
        </is>
      </c>
    </row>
    <row r="9">
      <c r="A9" s="131" t="inlineStr">
        <is>
          <t>4. Social displacement capacity</t>
        </is>
      </c>
      <c r="B9" s="132" t="inlineStr">
        <is>
          <t>10× labour claims imply social and political costs (mass layoffs, retraining) firms cannot ignore.</t>
        </is>
      </c>
      <c r="C9" s="132" t="inlineStr">
        <is>
          <t>Are the displacement costs being absorbed and managed, or being publicly reversed?</t>
        </is>
      </c>
      <c r="D9" s="184" t="inlineStr">
        <is>
          <t>Salesforce / Klarna / Duolingo reversals → FAIL</t>
        </is>
      </c>
    </row>
    <row r="10">
      <c r="A10" s="129" t="inlineStr">
        <is>
          <t>5. Complexity tax</t>
        </is>
      </c>
      <c r="B10" s="130" t="inlineStr">
        <is>
          <t>Integration, governance, review, and inertia all reduce GROSS AI capability into NET realised value.</t>
        </is>
      </c>
      <c r="C10" s="130" t="inlineStr">
        <is>
          <t>After human review, governance, and integration cost, what is the net uplift?</t>
        </is>
      </c>
      <c r="D10" s="184" t="inlineStr">
        <is>
          <t>Net far below gross (Brynjolfsson 14% net vs claimed 50%) → FAIL</t>
        </is>
      </c>
    </row>
    <row r="12">
      <c r="A12" s="127" t="inlineStr">
        <is>
          <t>Applying the test across technology waves</t>
        </is>
      </c>
    </row>
    <row r="13">
      <c r="A13" s="128" t="inlineStr">
        <is>
          <t>Wave</t>
        </is>
      </c>
      <c r="B13" s="128" t="inlineStr">
        <is>
          <t>Constraint depth</t>
        </is>
      </c>
      <c r="C13" s="128" t="inlineStr">
        <is>
          <t>Adoption-speed normalised</t>
        </is>
      </c>
      <c r="D13" s="128" t="inlineStr">
        <is>
          <t>Shop-floor rebuild</t>
        </is>
      </c>
      <c r="E13" s="128" t="inlineStr">
        <is>
          <t>Social displacement</t>
        </is>
      </c>
      <c r="F13" s="128" t="inlineStr">
        <is>
          <t>Complexity tax</t>
        </is>
      </c>
      <c r="G13" s="128" t="inlineStr">
        <is>
          <t>Revolution verdict</t>
        </is>
      </c>
    </row>
    <row r="14">
      <c r="A14" s="129" t="inlineStr">
        <is>
          <t>First industrial — steam</t>
        </is>
      </c>
      <c r="B14" s="130" t="inlineStr">
        <is>
          <t>PASS (energy)</t>
        </is>
      </c>
      <c r="C14" s="130" t="inlineStr">
        <is>
          <t>PASS (50 yrs)</t>
        </is>
      </c>
      <c r="D14" s="130" t="inlineStr">
        <is>
          <t>PASS (factories built)</t>
        </is>
      </c>
      <c r="E14" s="130" t="inlineStr">
        <is>
          <t>PASS (mass urbanisation)</t>
        </is>
      </c>
      <c r="F14" s="130" t="inlineStr">
        <is>
          <t>PASS (low)</t>
        </is>
      </c>
      <c r="G14" s="181" t="inlineStr">
        <is>
          <t>REVOLUTION</t>
        </is>
      </c>
    </row>
    <row r="15">
      <c r="A15" s="131" t="inlineStr">
        <is>
          <t>Electric / second industrial</t>
        </is>
      </c>
      <c r="B15" s="132" t="inlineStr">
        <is>
          <t>PASS (energy + speed)</t>
        </is>
      </c>
      <c r="C15" s="132" t="inlineStr">
        <is>
          <t>PASS (30–40 yrs)</t>
        </is>
      </c>
      <c r="D15" s="132" t="inlineStr">
        <is>
          <t>PASS (unit drive)</t>
        </is>
      </c>
      <c r="E15" s="132" t="inlineStr">
        <is>
          <t>PASS (assembly line)</t>
        </is>
      </c>
      <c r="F15" s="132" t="inlineStr">
        <is>
          <t>PASS (low)</t>
        </is>
      </c>
      <c r="G15" s="181" t="inlineStr">
        <is>
          <t>REVOLUTION</t>
        </is>
      </c>
    </row>
    <row r="16">
      <c r="A16" s="129" t="inlineStr">
        <is>
          <t>ICT / Internet</t>
        </is>
      </c>
      <c r="B16" s="130" t="inlineStr">
        <is>
          <t>PASS (info transport)</t>
        </is>
      </c>
      <c r="C16" s="130" t="inlineStr">
        <is>
          <t>PASS (20 yrs)</t>
        </is>
      </c>
      <c r="D16" s="130" t="inlineStr">
        <is>
          <t>PASS (digital workflows)</t>
        </is>
      </c>
      <c r="E16" s="130" t="inlineStr">
        <is>
          <t>PASS (offshoring etc.)</t>
        </is>
      </c>
      <c r="F16" s="130" t="inlineStr">
        <is>
          <t>PARTIAL</t>
        </is>
      </c>
      <c r="G16" s="186" t="inlineStr">
        <is>
          <t>REVOLUTION (delayed)</t>
        </is>
      </c>
    </row>
    <row r="17">
      <c r="A17" s="131" t="inlineStr">
        <is>
          <t>LLM-era AI today</t>
        </is>
      </c>
      <c r="B17" s="132" t="inlineStr">
        <is>
          <t>PARTIAL (cognitive)</t>
        </is>
      </c>
      <c r="C17" s="132" t="inlineStr">
        <is>
          <t>FAIL (too early)</t>
        </is>
      </c>
      <c r="D17" s="132" t="inlineStr">
        <is>
          <t>FAIL (mostly bolted-on)</t>
        </is>
      </c>
      <c r="E17" s="132" t="inlineStr">
        <is>
          <t>FAIL (reversals)</t>
        </is>
      </c>
      <c r="F17" s="132" t="inlineStr">
        <is>
          <t>FAIL (high net)</t>
        </is>
      </c>
      <c r="G17" s="184" t="inlineStr">
        <is>
          <t>TOOL — NOT YET REVOLUTION</t>
        </is>
      </c>
    </row>
    <row r="19" ht="120" customHeight="1" s="70">
      <c r="A19" s="133" t="inlineStr">
        <is>
          <t>Insight  |  The Valueships Adoption-Adjusted Revolution Test produces a clean verdict for LLM-era AI in 2026: TOOL, NOT YET REVOLUTION. Steam, electricity, and ICT all passed at least four of the five tests at their peak. LLM-era AI passes only the constraint-depth test partially (cognitive friction is real but is not a binding production constraint in the same way energy was). Adoption is still in quarters, organisations have not rebuilt their shop floors around AI, social displacement is reversing in public, and the complexity tax (Brynjolfsson NET 14 % vs claimed 50 %, MIT NANDA 95 % pilot failure rate) is high. The headline: GROSS AI looks like a revolution. NET AI inside unrestructured organisations looks like a productivity tool.</t>
        </is>
      </c>
    </row>
    <row r="20" ht="28" customHeight="1" s="70">
      <c r="A20" s="163" t="inlineStr">
        <is>
          <t>Source  |  Valueships Adoption-Adjusted Revolution Test — proprietary framework (Maciej Wilczyński, May 2026)</t>
        </is>
      </c>
    </row>
    <row r="21" ht="28" customHeight="1" s="70">
      <c r="A21" s="163" t="inlineStr">
        <is>
          <t>Source  |  Valueships Historical Productivity Ladder companion (LAD01)</t>
        </is>
      </c>
    </row>
    <row r="22" ht="28" customHeight="1" s="70">
      <c r="A22" s="134" t="inlineStr">
        <is>
          <t>Source  |  Acemoglu — Simple Macroeconomics of AI (NBER w32487)  —  https://www.nber.org/papers/w32487</t>
        </is>
      </c>
    </row>
    <row r="23" ht="28" customHeight="1" s="70">
      <c r="A23" s="134" t="inlineStr">
        <is>
          <t>Source  |  Brynjolfsson, Li, Raymond — Generative AI at Work (NBER w31161)  —  https://www.nber.org/papers/w31161</t>
        </is>
      </c>
    </row>
    <row r="24" ht="28" customHeight="1" s="70">
      <c r="A24" s="134" t="inlineStr">
        <is>
          <t>Source  |  MIT NANDA — State of AI in Business 2025  —  https://mlq.ai/media/quarterly_decks/v0.1_State_of_AI_in_Business_2025_Report.pdf</t>
        </is>
      </c>
    </row>
  </sheetData>
  <mergeCells count="8">
    <mergeCell ref="A1:J1"/>
    <mergeCell ref="A23:J23"/>
    <mergeCell ref="A22:J22"/>
    <mergeCell ref="A21:J21"/>
    <mergeCell ref="A20:J20"/>
    <mergeCell ref="A24:J24"/>
    <mergeCell ref="A2:J2"/>
    <mergeCell ref="A19:J19"/>
  </mergeCells>
  <hyperlinks>
    <hyperlink xmlns:r="http://schemas.openxmlformats.org/officeDocument/2006/relationships" ref="A22" r:id="rId1"/>
    <hyperlink xmlns:r="http://schemas.openxmlformats.org/officeDocument/2006/relationships" ref="A23" r:id="rId2"/>
    <hyperlink xmlns:r="http://schemas.openxmlformats.org/officeDocument/2006/relationships" ref="A24"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 customWidth="1" style="70" min="1" max="1"/>
    <col width="14" customWidth="1" style="70" min="2" max="2"/>
    <col width="16" customWidth="1" style="70" min="3" max="3"/>
    <col width="18" customWidth="1" style="70" min="4" max="4"/>
    <col width="22" customWidth="1" style="70" min="5" max="5"/>
    <col width="22" customWidth="1" style="70" min="6" max="6"/>
    <col width="18" customWidth="1" style="70" min="7" max="7"/>
    <col width="14" customWidth="1" style="70" min="8" max="8"/>
  </cols>
  <sheetData>
    <row r="1" ht="36" customHeight="1" s="70">
      <c r="A1" s="199" t="inlineStr">
        <is>
          <t>SPD01  |  Productivity normalised by information speed — AI has the highest info bandwidth in history and the lowest productivity since the agrarian era</t>
        </is>
      </c>
    </row>
    <row r="2" ht="24" customHeight="1" s="70">
      <c r="A2" s="200" t="inlineStr">
        <is>
          <t>Every previous revolution converted information speed into productivity. AI breaks the pattern: 100B× more info speed, 30× less productivity than electricity.</t>
        </is>
      </c>
    </row>
    <row r="4" ht="22" customHeight="1" s="70">
      <c r="A4" s="201" t="inlineStr">
        <is>
          <t>METHODOLOGY  |  the Valueships speed-normalised productivity test</t>
        </is>
      </c>
    </row>
    <row r="5" ht="22" customHeight="1" s="70">
      <c r="A5" s="202" t="inlineStr">
        <is>
          <t>Information Speed Index = relative bits/sec/worker on log scale, normalised to agrarian baseline = 1×.</t>
        </is>
      </c>
    </row>
    <row r="6" ht="22" customHeight="1" s="70">
      <c r="A6" s="202" t="inlineStr">
        <is>
          <t>Productivity gain = annual labour productivity / macro signal per era (see LAD01 for raw sources).</t>
        </is>
      </c>
    </row>
    <row r="7" ht="22" customHeight="1" s="70">
      <c r="A7" s="202" t="inlineStr">
        <is>
          <t>Conversion efficiency = Productivity gain ÷ log10(Information Speed Index). Measures how much productivity is captured per order-of-magnitude of info speed.</t>
        </is>
      </c>
    </row>
    <row r="8" ht="22" customHeight="1" s="70">
      <c r="A8" s="202" t="inlineStr">
        <is>
          <t>Interpretation: previous revolutions converted slower information into more productivity per order of magnitude. AI's conversion efficiency is 30–70× lower than every prior wave.</t>
        </is>
      </c>
    </row>
    <row r="10" ht="22" customHeight="1" s="70">
      <c r="A10" s="201" t="inlineStr">
        <is>
          <t>THE DATA</t>
        </is>
      </c>
    </row>
    <row r="11">
      <c r="A11" s="203" t="inlineStr">
        <is>
          <t>Wave</t>
        </is>
      </c>
      <c r="B11" s="203" t="inlineStr">
        <is>
          <t>Period</t>
        </is>
      </c>
      <c r="C11" s="203" t="inlineStr">
        <is>
          <t>Annual productivity %</t>
        </is>
      </c>
      <c r="D11" s="203" t="inlineStr">
        <is>
          <t>Info Speed Index (× agrarian)</t>
        </is>
      </c>
      <c r="E11" s="203" t="inlineStr">
        <is>
          <t>log10(Info Speed)</t>
        </is>
      </c>
      <c r="F11" s="203" t="inlineStr">
        <is>
          <t>Conversion efficiency</t>
        </is>
      </c>
      <c r="G11" s="203" t="inlineStr">
        <is>
          <t>Information medium</t>
        </is>
      </c>
      <c r="H11" s="203" t="inlineStr">
        <is>
          <t>Note</t>
        </is>
      </c>
    </row>
    <row r="12">
      <c r="A12" s="204" t="inlineStr">
        <is>
          <t>Agrarian</t>
        </is>
      </c>
      <c r="B12" s="205" t="inlineStr">
        <is>
          <t>post-1600</t>
        </is>
      </c>
      <c r="C12" s="206" t="n">
        <v>0.3</v>
      </c>
      <c r="D12" s="207" t="n">
        <v>1</v>
      </c>
      <c r="E12" s="208" t="n">
        <v>0</v>
      </c>
      <c r="F12" s="209" t="n">
        <v>0.3</v>
      </c>
      <c r="G12" s="204" t="inlineStr">
        <is>
          <t>Speech, manuscript, town crier</t>
        </is>
      </c>
      <c r="H12" s="204" t="inlineStr">
        <is>
          <t>Hoover Institution summary</t>
        </is>
      </c>
    </row>
    <row r="13">
      <c r="A13" s="210" t="inlineStr">
        <is>
          <t>First industrial</t>
        </is>
      </c>
      <c r="B13" s="211" t="inlineStr">
        <is>
          <t>1780-1860</t>
        </is>
      </c>
      <c r="C13" s="212" t="n">
        <v>0.78</v>
      </c>
      <c r="D13" s="213" t="n">
        <v>100</v>
      </c>
      <c r="E13" s="214" t="n">
        <v>2</v>
      </c>
      <c r="F13" s="215" t="n">
        <v>0.39</v>
      </c>
      <c r="G13" s="210" t="inlineStr">
        <is>
          <t>Printed press, mail coach, telegraph</t>
        </is>
      </c>
      <c r="H13" s="210" t="inlineStr">
        <is>
          <t>Crafts / FRBSF</t>
        </is>
      </c>
    </row>
    <row r="14">
      <c r="A14" s="204" t="inlineStr">
        <is>
          <t>Electric / 2nd industrial</t>
        </is>
      </c>
      <c r="B14" s="205" t="inlineStr">
        <is>
          <t>1920-1970</t>
        </is>
      </c>
      <c r="C14" s="206" t="n">
        <v>2.82</v>
      </c>
      <c r="D14" s="207" t="n">
        <v>100000</v>
      </c>
      <c r="E14" s="208" t="n">
        <v>5</v>
      </c>
      <c r="F14" s="209" t="n">
        <v>0.5639999999999999</v>
      </c>
      <c r="G14" s="204" t="inlineStr">
        <is>
          <t>Telephone, radio, TV — real-time</t>
        </is>
      </c>
      <c r="H14" s="204" t="inlineStr">
        <is>
          <t>Gordon — US labour productivity</t>
        </is>
      </c>
    </row>
    <row r="15">
      <c r="A15" s="210" t="inlineStr">
        <is>
          <t>ICT baseline</t>
        </is>
      </c>
      <c r="B15" s="211" t="inlineStr">
        <is>
          <t>1970-2015</t>
        </is>
      </c>
      <c r="C15" s="212" t="n">
        <v>1.38</v>
      </c>
      <c r="D15" s="213" t="n">
        <v>100000000</v>
      </c>
      <c r="E15" s="214" t="n">
        <v>8</v>
      </c>
      <c r="F15" s="215" t="n">
        <v>0.172</v>
      </c>
      <c r="G15" s="210" t="inlineStr">
        <is>
          <t>Digital networks, fax, early internet</t>
        </is>
      </c>
      <c r="H15" s="210" t="inlineStr">
        <is>
          <t>Gordon — outside 1994-2004</t>
        </is>
      </c>
    </row>
    <row r="16">
      <c r="A16" s="204" t="inlineStr">
        <is>
          <t>ICT revival</t>
        </is>
      </c>
      <c r="B16" s="205" t="inlineStr">
        <is>
          <t>1994-2004</t>
        </is>
      </c>
      <c r="C16" s="206" t="n">
        <v>2.26</v>
      </c>
      <c r="D16" s="207" t="n">
        <v>1000000000</v>
      </c>
      <c r="E16" s="208" t="n">
        <v>9</v>
      </c>
      <c r="F16" s="209" t="n">
        <v>0.251</v>
      </c>
      <c r="G16" s="204" t="inlineStr">
        <is>
          <t>Broadband, web 2.0, smartphones</t>
        </is>
      </c>
      <c r="H16" s="204" t="inlineStr">
        <is>
          <t>Gordon — US revival</t>
        </is>
      </c>
    </row>
    <row r="17">
      <c r="A17" s="216" t="inlineStr">
        <is>
          <t>LLM-era AI</t>
        </is>
      </c>
      <c r="B17" s="217" t="inlineStr">
        <is>
          <t>2024-2034</t>
        </is>
      </c>
      <c r="C17" s="218" t="n">
        <v>0.09</v>
      </c>
      <c r="D17" s="219" t="n">
        <v>100000000000</v>
      </c>
      <c r="E17" s="220" t="n">
        <v>11</v>
      </c>
      <c r="F17" s="221" t="n">
        <v>0.008</v>
      </c>
      <c r="G17" s="216" t="inlineStr">
        <is>
          <t>Gbps fiber + AI inference at scale</t>
        </is>
      </c>
      <c r="H17" s="216" t="inlineStr">
        <is>
          <t>Acemoglu — NBER w32487</t>
        </is>
      </c>
    </row>
    <row r="19">
      <c r="A19" s="222" t="inlineStr">
        <is>
          <t>Chart data — conversion efficiency by wave</t>
        </is>
      </c>
    </row>
    <row r="20">
      <c r="A20" s="203" t="inlineStr">
        <is>
          <t>Wave</t>
        </is>
      </c>
      <c r="B20" s="203" t="inlineStr">
        <is>
          <t>Conversion efficiency (prod % per log-decade of info speed)</t>
        </is>
      </c>
    </row>
    <row r="21">
      <c r="A21" s="223" t="inlineStr">
        <is>
          <t>Agrarian</t>
        </is>
      </c>
      <c r="B21" s="224" t="n">
        <v>0.3</v>
      </c>
    </row>
    <row r="22">
      <c r="A22" s="223" t="inlineStr">
        <is>
          <t>First industrial</t>
        </is>
      </c>
      <c r="B22" s="224" t="n">
        <v>0.39</v>
      </c>
    </row>
    <row r="23">
      <c r="A23" s="223" t="inlineStr">
        <is>
          <t>Electric / 2nd industrial</t>
        </is>
      </c>
      <c r="B23" s="224" t="n">
        <v>0.5639999999999999</v>
      </c>
    </row>
    <row r="24">
      <c r="A24" s="223" t="inlineStr">
        <is>
          <t>ICT baseline</t>
        </is>
      </c>
      <c r="B24" s="224" t="n">
        <v>0.172</v>
      </c>
    </row>
    <row r="25">
      <c r="A25" s="223" t="inlineStr">
        <is>
          <t>ICT revival</t>
        </is>
      </c>
      <c r="B25" s="224" t="n">
        <v>0.251</v>
      </c>
    </row>
    <row r="26">
      <c r="A26" s="223" t="inlineStr">
        <is>
          <t>LLM-era AI</t>
        </is>
      </c>
      <c r="B26" s="224" t="n">
        <v>0.008</v>
      </c>
    </row>
    <row r="28" ht="100" customHeight="1" s="70">
      <c r="A28" s="225" t="inlineStr">
        <is>
          <t>Insight  |  Each previous revolution captured 0.17–0.56 percentage points of productivity per log-decade of information-speed growth. LLM-era AI captures 0.008 — 30 to 70 times worse than every prior wave. The bandwidth is unprecedented; the conversion into productivity is not. The implication for the Adoption-Adjusted Revolution Test (AAR01): AI is failing the 'complexity tax' criterion catastrophically. Gross AI looks like a revolution. Net AI inside unrestructured organisations looks like a productivity tool.</t>
        </is>
      </c>
    </row>
    <row r="29" ht="40" customHeight="1" s="70">
      <c r="A29" s="226" t="inlineStr">
        <is>
          <t>Companion visuals  |  speed-normalized-productivity-chart.png (dashboard) and speed-normalized-productivity-linkedin.png (1200×1200 social). Both rendered using the Valueships brand system (pink dominant, Lato + Roboto, key visual).</t>
        </is>
      </c>
    </row>
    <row r="30" ht="24" customHeight="1" s="70">
      <c r="A30" s="227" t="inlineStr">
        <is>
          <t>Source  |  Crafts, N. — Productivity Growth in the Industrial Revolution (FRBSF)  —  https://www.frbsf.org/wp-content/uploads/crafts.pdf</t>
        </is>
      </c>
    </row>
    <row r="31" ht="24" customHeight="1" s="70">
      <c r="A31" s="202" t="inlineStr">
        <is>
          <t>Source  |  Gordon, R. — US Labour Productivity Waves (Northwestern / IMF)</t>
        </is>
      </c>
    </row>
    <row r="32" ht="24" customHeight="1" s="70">
      <c r="A32" s="227" t="inlineStr">
        <is>
          <t>Source  |  Acemoglu, D. — The Simple Macroeconomics of AI (NBER w32487)  —  https://www.nber.org/papers/w32487</t>
        </is>
      </c>
    </row>
    <row r="33" ht="24" customHeight="1" s="70">
      <c r="A33" s="202" t="inlineStr">
        <is>
          <t>Source  |  Hoover Institution — English productivity summary</t>
        </is>
      </c>
    </row>
    <row r="34" ht="24" customHeight="1" s="70">
      <c r="A34" s="202" t="inlineStr">
        <is>
          <t>Source  |  Information-speed index — Valueships proxy, bits/sec/worker on log scale</t>
        </is>
      </c>
    </row>
  </sheetData>
  <mergeCells count="15">
    <mergeCell ref="A1:H1"/>
    <mergeCell ref="A4:H4"/>
    <mergeCell ref="A30:H30"/>
    <mergeCell ref="A29:H29"/>
    <mergeCell ref="A7:H7"/>
    <mergeCell ref="A31:H31"/>
    <mergeCell ref="A2:H2"/>
    <mergeCell ref="A10:H10"/>
    <mergeCell ref="A28:H28"/>
    <mergeCell ref="A33:H33"/>
    <mergeCell ref="A5:H5"/>
    <mergeCell ref="A32:H32"/>
    <mergeCell ref="A8:H8"/>
    <mergeCell ref="A6:H6"/>
    <mergeCell ref="A34:H34"/>
  </mergeCells>
  <hyperlinks>
    <hyperlink xmlns:r="http://schemas.openxmlformats.org/officeDocument/2006/relationships" ref="A30" r:id="rId1"/>
    <hyperlink xmlns:r="http://schemas.openxmlformats.org/officeDocument/2006/relationships" ref="A32" r:id="rId2"/>
  </hyperlinks>
  <pageMargins left="0.75" right="0.75" top="1" bottom="1" header="0.5" footer="0.5"/>
  <drawing xmlns:r="http://schemas.openxmlformats.org/officeDocument/2006/relationships" r:id="rId3"/>
</worksheet>
</file>

<file path=xl/worksheets/sheet7.xml><?xml version="1.0" encoding="utf-8"?>
<worksheet xmlns="http://schemas.openxmlformats.org/spreadsheetml/2006/main">
  <sheetPr filterMode="0">
    <outlinePr summaryBelow="1" summaryRight="1"/>
    <pageSetUpPr fitToPage="0"/>
  </sheetPr>
  <dimension ref="A1:J6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69" min="1" max="1"/>
    <col width="12" customWidth="1" style="69" min="2" max="3"/>
    <col width="14" customWidth="1" style="69" min="4" max="7"/>
    <col width="18" customWidth="1" style="69" min="8" max="8"/>
    <col width="14" customWidth="1" style="69" min="9" max="10"/>
  </cols>
  <sheetData>
    <row r="1" ht="31.5" customHeight="1" s="70">
      <c r="A1" s="78" t="inlineStr">
        <is>
          <t>IDX01  |  Value Increase Index (VII) — one common denominator across all sectors; the single load-bearing metric of this dossier</t>
        </is>
      </c>
    </row>
    <row r="2" ht="21.75" customHeight="1" s="70">
      <c r="A2" s="84" t="inlineStr">
        <is>
          <t>VII = (Revenue Impact × Revenue Share of Value) + (Cost Impact × Cost Share of Value). Editable inputs in YELLOW; live formulas in GREEN.</t>
        </is>
      </c>
    </row>
    <row r="4" ht="21.75" customHeight="1" s="70">
      <c r="A4" s="91" t="inlineStr">
        <is>
          <t>METHODOLOGY  |  AI Value Increase Index (VII)</t>
        </is>
      </c>
    </row>
    <row r="5" ht="21.75" customHeight="1" s="70">
      <c r="A5" s="92" t="inlineStr">
        <is>
          <t>Definition: VII expresses the total realised economic value increase from AI in a workflow, in a single percentage that combines revenue uplift and cost reduction.</t>
        </is>
      </c>
    </row>
    <row r="6" ht="21.75" customHeight="1" s="70">
      <c r="A6" s="92" t="inlineStr">
        <is>
          <t>Formula:   VII = (Revenue Impact %  ×  Revenue Share of Value)  +  (Cost Impact %  ×  Cost Share of Value)</t>
        </is>
      </c>
    </row>
    <row r="7" ht="21.75" customHeight="1" s="70">
      <c r="A7" s="92" t="inlineStr">
        <is>
          <t>Constraint: Revenue Share + Cost Share = 100%. Across most B2B AI use cases, Cost Share dominates (60–80%) because realised AI value today is overwhelmingly labour/COGS displacement.</t>
        </is>
      </c>
    </row>
    <row r="8" ht="21.75" customHeight="1" s="70">
      <c r="A8" s="92" t="inlineStr">
        <is>
          <t>Vendor Capture sub-index:  VC = VII × Capture Rate.  Empirical Capture Rate sits at 10–30% (per-seat ~5–10%; outcome-based 30–50%; hybrid 25–40%).</t>
        </is>
      </c>
    </row>
    <row r="9" ht="21.75" customHeight="1" s="70">
      <c r="A9" s="92" t="inlineStr">
        <is>
          <t>Economic translation:  $ value per benefiting FTE / year = VII × Loaded Cost per FTE.  Vendor revenue per FTE = $ value × Capture Rate.</t>
        </is>
      </c>
    </row>
    <row r="10" ht="21.75" customHeight="1" s="70">
      <c r="A10" s="92" t="inlineStr">
        <is>
          <t>Pricing model linkage:  VII ≥25% → outcome / gainsharing.  15–24% → hybrid base+usage.  8–14% → usage / credit.  &lt;8% → per-seat with usage cap.</t>
        </is>
      </c>
    </row>
    <row r="12" ht="21.75" customHeight="1" s="70">
      <c r="A12" s="91" t="inlineStr">
        <is>
          <t>SECTOR VII TABLE  |  Edit the YELLOW cells; GREEN cells recalculate</t>
        </is>
      </c>
    </row>
    <row r="13" ht="23.25" customHeight="1" s="70">
      <c r="A13" s="79" t="inlineStr">
        <is>
          <t>Sector</t>
        </is>
      </c>
      <c r="B13" s="79" t="inlineStr">
        <is>
          <t>Rev Impact %</t>
        </is>
      </c>
      <c r="C13" s="79" t="inlineStr">
        <is>
          <t>Cost Impact %</t>
        </is>
      </c>
      <c r="D13" s="79" t="inlineStr">
        <is>
          <t>Rev Share of Value %</t>
        </is>
      </c>
      <c r="E13" s="79" t="inlineStr">
        <is>
          <t>Cost Share of Value %</t>
        </is>
      </c>
      <c r="F13" s="79" t="inlineStr">
        <is>
          <t>VII (calc)</t>
        </is>
      </c>
      <c r="G13" s="79" t="inlineStr">
        <is>
          <t>Loaded $/FTE</t>
        </is>
      </c>
      <c r="H13" s="79" t="inlineStr">
        <is>
          <t>Value $/FTE/yr (calc)</t>
        </is>
      </c>
      <c r="I13" s="79" t="inlineStr">
        <is>
          <t>Capture Rate %</t>
        </is>
      </c>
      <c r="J13" s="79" t="inlineStr">
        <is>
          <t>Vendor $/FTE/yr (calc)</t>
        </is>
      </c>
    </row>
    <row r="14" ht="15" customHeight="1" s="70">
      <c r="A14" s="80" t="inlineStr">
        <is>
          <t>Software development</t>
        </is>
      </c>
      <c r="B14" s="93" t="n">
        <v>0.08</v>
      </c>
      <c r="C14" s="93" t="n">
        <v>0.25</v>
      </c>
      <c r="D14" s="94" t="n">
        <v>0.2</v>
      </c>
      <c r="E14" s="95">
        <f>1-D14</f>
        <v/>
      </c>
      <c r="F14" s="96">
        <f>B14*D14+C14*E14</f>
        <v/>
      </c>
      <c r="G14" s="97" t="n">
        <v>130000</v>
      </c>
      <c r="H14" s="98">
        <f>F14*G14</f>
        <v/>
      </c>
      <c r="I14" s="94" t="n">
        <v>0.2</v>
      </c>
      <c r="J14" s="98">
        <f>H14*I14</f>
        <v/>
      </c>
    </row>
    <row r="15" ht="15" customHeight="1" s="70">
      <c r="A15" s="80" t="inlineStr">
        <is>
          <t>Customer service / support</t>
        </is>
      </c>
      <c r="B15" s="93" t="n">
        <v>0.05</v>
      </c>
      <c r="C15" s="93" t="n">
        <v>0.17</v>
      </c>
      <c r="D15" s="94" t="n">
        <v>0.3</v>
      </c>
      <c r="E15" s="95">
        <f>1-D15</f>
        <v/>
      </c>
      <c r="F15" s="96">
        <f>B15*D15+C15*E15</f>
        <v/>
      </c>
      <c r="G15" s="97" t="n">
        <v>60000</v>
      </c>
      <c r="H15" s="98">
        <f>F15*G15</f>
        <v/>
      </c>
      <c r="I15" s="94" t="n">
        <v>0.35</v>
      </c>
      <c r="J15" s="98">
        <f>H15*I15</f>
        <v/>
      </c>
    </row>
    <row r="16" ht="15" customHeight="1" s="70">
      <c r="A16" s="80" t="inlineStr">
        <is>
          <t>Writing / Marketing creative</t>
        </is>
      </c>
      <c r="B16" s="93" t="n">
        <v>0.12</v>
      </c>
      <c r="C16" s="93" t="n">
        <v>0.3</v>
      </c>
      <c r="D16" s="94" t="n">
        <v>0.25</v>
      </c>
      <c r="E16" s="95">
        <f>1-D16</f>
        <v/>
      </c>
      <c r="F16" s="96">
        <f>B16*D16+C16*E16</f>
        <v/>
      </c>
      <c r="G16" s="97" t="n">
        <v>90000</v>
      </c>
      <c r="H16" s="98">
        <f>F16*G16</f>
        <v/>
      </c>
      <c r="I16" s="94" t="n">
        <v>0.2</v>
      </c>
      <c r="J16" s="98">
        <f>H16*I16</f>
        <v/>
      </c>
    </row>
    <row r="17" ht="15" customHeight="1" s="70">
      <c r="A17" s="80" t="inlineStr">
        <is>
          <t>Sales</t>
        </is>
      </c>
      <c r="B17" s="93" t="n">
        <v>0.18</v>
      </c>
      <c r="C17" s="93" t="n">
        <v>0.1</v>
      </c>
      <c r="D17" s="94" t="n">
        <v>0.7</v>
      </c>
      <c r="E17" s="95">
        <f>1-D17</f>
        <v/>
      </c>
      <c r="F17" s="96">
        <f>B17*D17+C17*E17</f>
        <v/>
      </c>
      <c r="G17" s="97" t="n">
        <v>110000</v>
      </c>
      <c r="H17" s="98">
        <f>F17*G17</f>
        <v/>
      </c>
      <c r="I17" s="94" t="n">
        <v>0.25</v>
      </c>
      <c r="J17" s="98">
        <f>H17*I17</f>
        <v/>
      </c>
    </row>
    <row r="18" ht="15" customHeight="1" s="70">
      <c r="A18" s="80" t="inlineStr">
        <is>
          <t>Consulting / Professional services</t>
        </is>
      </c>
      <c r="B18" s="93" t="n">
        <v>0.07000000000000001</v>
      </c>
      <c r="C18" s="93" t="n">
        <v>0.25</v>
      </c>
      <c r="D18" s="94" t="n">
        <v>0.25</v>
      </c>
      <c r="E18" s="95">
        <f>1-D18</f>
        <v/>
      </c>
      <c r="F18" s="96">
        <f>B18*D18+C18*E18</f>
        <v/>
      </c>
      <c r="G18" s="97" t="n">
        <v>180000</v>
      </c>
      <c r="H18" s="98">
        <f>F18*G18</f>
        <v/>
      </c>
      <c r="I18" s="94" t="n">
        <v>0.15</v>
      </c>
      <c r="J18" s="98">
        <f>H18*I18</f>
        <v/>
      </c>
    </row>
    <row r="19" ht="23.25" customHeight="1" s="70">
      <c r="A19" s="80" t="inlineStr">
        <is>
          <t>Legal — document review / drafting</t>
        </is>
      </c>
      <c r="B19" s="93" t="n">
        <v>0.05</v>
      </c>
      <c r="C19" s="93" t="n">
        <v>0.28</v>
      </c>
      <c r="D19" s="94" t="n">
        <v>0.15</v>
      </c>
      <c r="E19" s="95">
        <f>1-D19</f>
        <v/>
      </c>
      <c r="F19" s="96">
        <f>B19*D19+C19*E19</f>
        <v/>
      </c>
      <c r="G19" s="97" t="n">
        <v>200000</v>
      </c>
      <c r="H19" s="98">
        <f>F19*G19</f>
        <v/>
      </c>
      <c r="I19" s="94" t="n">
        <v>0.25</v>
      </c>
      <c r="J19" s="98">
        <f>H19*I19</f>
        <v/>
      </c>
    </row>
    <row r="20" ht="15" customHeight="1" s="70">
      <c r="A20" s="80" t="inlineStr">
        <is>
          <t>Legal — advisory (senior)</t>
        </is>
      </c>
      <c r="B20" s="93" t="n">
        <v>0.03</v>
      </c>
      <c r="C20" s="93" t="n">
        <v>0.1</v>
      </c>
      <c r="D20" s="94" t="n">
        <v>0.2</v>
      </c>
      <c r="E20" s="95">
        <f>1-D20</f>
        <v/>
      </c>
      <c r="F20" s="96">
        <f>B20*D20+C20*E20</f>
        <v/>
      </c>
      <c r="G20" s="97" t="n">
        <v>350000</v>
      </c>
      <c r="H20" s="98">
        <f>F20*G20</f>
        <v/>
      </c>
      <c r="I20" s="94" t="n">
        <v>0.1</v>
      </c>
      <c r="J20" s="98">
        <f>H20*I20</f>
        <v/>
      </c>
    </row>
    <row r="21" ht="15" customHeight="1" s="70">
      <c r="A21" s="80" t="inlineStr">
        <is>
          <t>Finance — back office / ops</t>
        </is>
      </c>
      <c r="B21" s="93" t="n">
        <v>0.03</v>
      </c>
      <c r="C21" s="93" t="n">
        <v>0.3</v>
      </c>
      <c r="D21" s="94" t="n">
        <v>0.05</v>
      </c>
      <c r="E21" s="95">
        <f>1-D21</f>
        <v/>
      </c>
      <c r="F21" s="96">
        <f>B21*D21+C21*E21</f>
        <v/>
      </c>
      <c r="G21" s="97" t="n">
        <v>80000</v>
      </c>
      <c r="H21" s="98">
        <f>F21*G21</f>
        <v/>
      </c>
      <c r="I21" s="94" t="n">
        <v>0.3</v>
      </c>
      <c r="J21" s="98">
        <f>H21*I21</f>
        <v/>
      </c>
    </row>
    <row r="22" ht="23.25" customHeight="1" s="70">
      <c r="A22" s="80" t="inlineStr">
        <is>
          <t>Financial services (FinServ overall)</t>
        </is>
      </c>
      <c r="B22" s="93" t="n">
        <v>0.12</v>
      </c>
      <c r="C22" s="93" t="n">
        <v>0.18</v>
      </c>
      <c r="D22" s="94" t="n">
        <v>0.4</v>
      </c>
      <c r="E22" s="95">
        <f>1-D22</f>
        <v/>
      </c>
      <c r="F22" s="96">
        <f>B22*D22+C22*E22</f>
        <v/>
      </c>
      <c r="G22" s="97" t="n">
        <v>120000</v>
      </c>
      <c r="H22" s="98">
        <f>F22*G22</f>
        <v/>
      </c>
      <c r="I22" s="94" t="n">
        <v>0.2</v>
      </c>
      <c r="J22" s="98">
        <f>H22*I22</f>
        <v/>
      </c>
    </row>
    <row r="23" ht="15" customHeight="1" s="70">
      <c r="A23" s="80" t="inlineStr">
        <is>
          <t>Healthcare — clinical (scribes)</t>
        </is>
      </c>
      <c r="B23" s="93" t="n">
        <v>0.05</v>
      </c>
      <c r="C23" s="93" t="n">
        <v>0.2</v>
      </c>
      <c r="D23" s="94" t="n">
        <v>0.3</v>
      </c>
      <c r="E23" s="95">
        <f>1-D23</f>
        <v/>
      </c>
      <c r="F23" s="96">
        <f>B23*D23+C23*E23</f>
        <v/>
      </c>
      <c r="G23" s="97" t="n">
        <v>250000</v>
      </c>
      <c r="H23" s="98">
        <f>F23*G23</f>
        <v/>
      </c>
      <c r="I23" s="94" t="n">
        <v>0.15</v>
      </c>
      <c r="J23" s="98">
        <f>H23*I23</f>
        <v/>
      </c>
    </row>
    <row r="24" ht="15" customHeight="1" s="70">
      <c r="A24" s="80" t="inlineStr">
        <is>
          <t>Manufacturing (lighthouses)</t>
        </is>
      </c>
      <c r="B24" s="93" t="n">
        <v>0.15</v>
      </c>
      <c r="C24" s="93" t="n">
        <v>0.3</v>
      </c>
      <c r="D24" s="94" t="n">
        <v>0.35</v>
      </c>
      <c r="E24" s="95">
        <f>1-D24</f>
        <v/>
      </c>
      <c r="F24" s="96">
        <f>B24*D24+C24*E24</f>
        <v/>
      </c>
      <c r="G24" s="97" t="n">
        <v>70000</v>
      </c>
      <c r="H24" s="98">
        <f>F24*G24</f>
        <v/>
      </c>
      <c r="I24" s="94" t="n">
        <v>0.2</v>
      </c>
      <c r="J24" s="98">
        <f>H24*I24</f>
        <v/>
      </c>
    </row>
    <row r="25" ht="15" customHeight="1" s="70">
      <c r="A25" s="80" t="inlineStr">
        <is>
          <t>Manufacturing (average plant)</t>
        </is>
      </c>
      <c r="B25" s="93" t="n">
        <v>0.05</v>
      </c>
      <c r="C25" s="93" t="n">
        <v>0.12</v>
      </c>
      <c r="D25" s="94" t="n">
        <v>0.3</v>
      </c>
      <c r="E25" s="95">
        <f>1-D25</f>
        <v/>
      </c>
      <c r="F25" s="96">
        <f>B25*D25+C25*E25</f>
        <v/>
      </c>
      <c r="G25" s="97" t="n">
        <v>70000</v>
      </c>
      <c r="H25" s="98">
        <f>F25*G25</f>
        <v/>
      </c>
      <c r="I25" s="94" t="n">
        <v>0.15</v>
      </c>
      <c r="J25" s="98">
        <f>H25*I25</f>
        <v/>
      </c>
    </row>
    <row r="26" ht="15" customHeight="1" s="70">
      <c r="A26" s="80" t="inlineStr">
        <is>
          <t>AEC / Construction</t>
        </is>
      </c>
      <c r="B26" s="93" t="n">
        <v>0.08</v>
      </c>
      <c r="C26" s="93" t="n">
        <v>0.15</v>
      </c>
      <c r="D26" s="94" t="n">
        <v>0.4</v>
      </c>
      <c r="E26" s="95">
        <f>1-D26</f>
        <v/>
      </c>
      <c r="F26" s="96">
        <f>B26*D26+C26*E26</f>
        <v/>
      </c>
      <c r="G26" s="97" t="n">
        <v>95000</v>
      </c>
      <c r="H26" s="98">
        <f>F26*G26</f>
        <v/>
      </c>
      <c r="I26" s="94" t="n">
        <v>0.15</v>
      </c>
      <c r="J26" s="98">
        <f>H26*I26</f>
        <v/>
      </c>
    </row>
    <row r="27" ht="15" customHeight="1" s="70">
      <c r="A27" s="80" t="inlineStr">
        <is>
          <t>Education</t>
        </is>
      </c>
      <c r="B27" s="93" t="n">
        <v>0.02</v>
      </c>
      <c r="C27" s="93" t="n">
        <v>0.08</v>
      </c>
      <c r="D27" s="94" t="n">
        <v>0.1</v>
      </c>
      <c r="E27" s="95">
        <f>1-D27</f>
        <v/>
      </c>
      <c r="F27" s="96">
        <f>B27*D27+C27*E27</f>
        <v/>
      </c>
      <c r="G27" s="97" t="n">
        <v>70000</v>
      </c>
      <c r="H27" s="98">
        <f>F27*G27</f>
        <v/>
      </c>
      <c r="I27" s="94" t="n">
        <v>0.08</v>
      </c>
      <c r="J27" s="98">
        <f>H27*I27</f>
        <v/>
      </c>
    </row>
    <row r="28" ht="15" customHeight="1" s="70">
      <c r="A28" s="80" t="inlineStr">
        <is>
          <t>Government / Public sector</t>
        </is>
      </c>
      <c r="B28" s="93" t="n">
        <v>0.03</v>
      </c>
      <c r="C28" s="93" t="n">
        <v>0.1</v>
      </c>
      <c r="D28" s="94" t="n">
        <v>0.1</v>
      </c>
      <c r="E28" s="95">
        <f>1-D28</f>
        <v/>
      </c>
      <c r="F28" s="96">
        <f>B28*D28+C28*E28</f>
        <v/>
      </c>
      <c r="G28" s="97" t="n">
        <v>90000</v>
      </c>
      <c r="H28" s="98">
        <f>F28*G28</f>
        <v/>
      </c>
      <c r="I28" s="94" t="n">
        <v>0.1</v>
      </c>
      <c r="J28" s="98">
        <f>H28*I28</f>
        <v/>
      </c>
    </row>
    <row r="29" ht="15" customHeight="1" s="70">
      <c r="A29" s="80" t="inlineStr">
        <is>
          <t>TMT — IT functions</t>
        </is>
      </c>
      <c r="B29" s="93" t="n">
        <v>0.08</v>
      </c>
      <c r="C29" s="93" t="n">
        <v>0.22</v>
      </c>
      <c r="D29" s="94" t="n">
        <v>0.3</v>
      </c>
      <c r="E29" s="95">
        <f>1-D29</f>
        <v/>
      </c>
      <c r="F29" s="96">
        <f>B29*D29+C29*E29</f>
        <v/>
      </c>
      <c r="G29" s="97" t="n">
        <v>120000</v>
      </c>
      <c r="H29" s="98">
        <f>F29*G29</f>
        <v/>
      </c>
      <c r="I29" s="94" t="n">
        <v>0.18</v>
      </c>
      <c r="J29" s="98">
        <f>H29*I29</f>
        <v/>
      </c>
    </row>
    <row r="30" ht="15" customHeight="1" s="70">
      <c r="A30" s="80" t="inlineStr">
        <is>
          <t>Consumer &amp; Retail — sales/ops</t>
        </is>
      </c>
      <c r="B30" s="93" t="n">
        <v>0.14</v>
      </c>
      <c r="C30" s="93" t="n">
        <v>0.12</v>
      </c>
      <c r="D30" s="94" t="n">
        <v>0.6</v>
      </c>
      <c r="E30" s="95">
        <f>1-D30</f>
        <v/>
      </c>
      <c r="F30" s="96">
        <f>B30*D30+C30*E30</f>
        <v/>
      </c>
      <c r="G30" s="97" t="n">
        <v>70000</v>
      </c>
      <c r="H30" s="98">
        <f>F30*G30</f>
        <v/>
      </c>
      <c r="I30" s="94" t="n">
        <v>0.2</v>
      </c>
      <c r="J30" s="98">
        <f>H30*I30</f>
        <v/>
      </c>
    </row>
    <row r="31" ht="23.25" customHeight="1" s="70">
      <c r="A31" s="80" t="inlineStr">
        <is>
          <t>Energy &amp; Chemicals — supply chain</t>
        </is>
      </c>
      <c r="B31" s="93" t="n">
        <v>0.08</v>
      </c>
      <c r="C31" s="93" t="n">
        <v>0.2</v>
      </c>
      <c r="D31" s="94" t="n">
        <v>0.35</v>
      </c>
      <c r="E31" s="95">
        <f>1-D31</f>
        <v/>
      </c>
      <c r="F31" s="96">
        <f>B31*D31+C31*E31</f>
        <v/>
      </c>
      <c r="G31" s="97" t="n">
        <v>110000</v>
      </c>
      <c r="H31" s="98">
        <f>F31*G31</f>
        <v/>
      </c>
      <c r="I31" s="94" t="n">
        <v>0.18</v>
      </c>
      <c r="J31" s="98">
        <f>H31*I31</f>
        <v/>
      </c>
    </row>
    <row r="32" ht="15" customHeight="1" s="70">
      <c r="A32" s="99" t="inlineStr">
        <is>
          <t>MEDIAN / TYPICAL</t>
        </is>
      </c>
      <c r="B32" s="100">
        <f>MEDIAN(B14:B31)</f>
        <v/>
      </c>
      <c r="C32" s="100">
        <f>MEDIAN(C14:C31)</f>
        <v/>
      </c>
      <c r="D32" s="101">
        <f>MEDIAN(D14:D31)</f>
        <v/>
      </c>
      <c r="E32" s="101">
        <f>MEDIAN(E14:E31)</f>
        <v/>
      </c>
      <c r="F32" s="100">
        <f>MEDIAN(F14:F31)</f>
        <v/>
      </c>
      <c r="G32" s="102">
        <f>MEDIAN(G14:G31)</f>
        <v/>
      </c>
      <c r="H32" s="102">
        <f>MEDIAN(H14:H31)</f>
        <v/>
      </c>
      <c r="I32" s="101">
        <f>MEDIAN(I14:I31)</f>
        <v/>
      </c>
      <c r="J32" s="102">
        <f>MEDIAN(J14:J31)</f>
        <v/>
      </c>
    </row>
    <row r="34" ht="21.75" customHeight="1" s="70">
      <c r="A34" s="91" t="inlineStr">
        <is>
          <t>VII BAND → PRICING MODEL DECISION (auto-applied)</t>
        </is>
      </c>
    </row>
    <row r="35" ht="15" customHeight="1" s="70">
      <c r="A35" s="79" t="inlineStr">
        <is>
          <t>VII band</t>
        </is>
      </c>
      <c r="B35" s="79" t="inlineStr">
        <is>
          <t>Recommended pricing model</t>
        </is>
      </c>
      <c r="C35" s="103" t="n"/>
      <c r="D35" s="104" t="n"/>
      <c r="E35" s="69" t="n"/>
      <c r="H35" s="69" t="n"/>
    </row>
    <row r="36" ht="15" customHeight="1" s="70">
      <c r="A36" s="105" t="inlineStr">
        <is>
          <t>VII ≥ 25%</t>
        </is>
      </c>
      <c r="B36" s="106" t="inlineStr">
        <is>
          <t>OUTCOME-BASED  /  Gainsharing</t>
        </is>
      </c>
      <c r="C36" s="103" t="n"/>
      <c r="D36" s="103" t="n"/>
      <c r="E36" s="107" t="inlineStr">
        <is>
          <t>Per-resolution, per-deal, % of cost saved</t>
        </is>
      </c>
      <c r="F36" s="103" t="n"/>
      <c r="G36" s="103" t="n"/>
      <c r="H36" s="107" t="inlineStr">
        <is>
          <t>AI replaces clean attributable units</t>
        </is>
      </c>
      <c r="I36" s="103" t="n"/>
      <c r="J36" s="103" t="n"/>
    </row>
    <row r="37" ht="15" customHeight="1" s="70">
      <c r="A37" s="105" t="inlineStr">
        <is>
          <t>VII 15–24%</t>
        </is>
      </c>
      <c r="B37" s="106" t="inlineStr">
        <is>
          <t>HYBRID  (base + usage / outcome)</t>
        </is>
      </c>
      <c r="C37" s="103" t="n"/>
      <c r="D37" s="103" t="n"/>
      <c r="E37" s="107" t="inlineStr">
        <is>
          <t>Per-seat foundation + usage tier + outcome bonus</t>
        </is>
      </c>
      <c r="F37" s="103" t="n"/>
      <c r="G37" s="103" t="n"/>
      <c r="H37" s="107" t="inlineStr">
        <is>
          <t>Material uplift; mixed work; predictability + scaling</t>
        </is>
      </c>
      <c r="I37" s="103" t="n"/>
      <c r="J37" s="103" t="n"/>
    </row>
    <row r="38" ht="23.25" customHeight="1" s="70">
      <c r="A38" s="108" t="inlineStr">
        <is>
          <t>VII 8–14%</t>
        </is>
      </c>
      <c r="B38" s="106" t="inlineStr">
        <is>
          <t>USAGE / CREDIT-BASED</t>
        </is>
      </c>
      <c r="C38" s="103" t="n"/>
      <c r="D38" s="103" t="n"/>
      <c r="E38" s="107" t="inlineStr">
        <is>
          <t>Credits, tokens, compute, effort</t>
        </is>
      </c>
      <c r="F38" s="103" t="n"/>
      <c r="G38" s="103" t="n"/>
      <c r="H38" s="107" t="inlineStr">
        <is>
          <t>Moderate uplift; variable use; consumption matches value</t>
        </is>
      </c>
      <c r="I38" s="103" t="n"/>
      <c r="J38" s="103" t="n"/>
    </row>
    <row r="39" ht="15" customHeight="1" s="70">
      <c r="A39" s="109" t="inlineStr">
        <is>
          <t>VII &lt; 8%</t>
        </is>
      </c>
      <c r="B39" s="106" t="inlineStr">
        <is>
          <t>PER-SEAT  (with usage cap)</t>
        </is>
      </c>
      <c r="C39" s="103" t="n"/>
      <c r="D39" s="103" t="n"/>
      <c r="E39" s="107" t="inlineStr">
        <is>
          <t>Per-user with overage</t>
        </is>
      </c>
      <c r="F39" s="103" t="n"/>
      <c r="G39" s="103" t="n"/>
      <c r="H39" s="107" t="inlineStr">
        <is>
          <t>Low direct uplift; value is access, not units</t>
        </is>
      </c>
      <c r="I39" s="103" t="n"/>
      <c r="J39" s="103" t="n"/>
    </row>
    <row r="41" ht="21.75" customHeight="1" s="70">
      <c r="A41" s="91" t="inlineStr">
        <is>
          <t>LIVE PRICING RECOMMENDATION PER SECTOR (formula from VII band)</t>
        </is>
      </c>
    </row>
    <row r="42" ht="15" customHeight="1" s="70">
      <c r="A42" s="79" t="inlineStr">
        <is>
          <t>Sector</t>
        </is>
      </c>
      <c r="B42" s="79" t="inlineStr">
        <is>
          <t>VII</t>
        </is>
      </c>
      <c r="C42" s="79" t="inlineStr">
        <is>
          <t>Recommended model</t>
        </is>
      </c>
      <c r="D42" s="103" t="n"/>
      <c r="E42" s="103" t="n"/>
      <c r="F42" s="103" t="n"/>
      <c r="G42" s="103" t="n"/>
      <c r="H42" s="103" t="n"/>
      <c r="I42" s="103" t="n"/>
      <c r="J42" s="104" t="n"/>
    </row>
    <row r="43" ht="15" customHeight="1" s="70">
      <c r="A43" s="80" t="inlineStr">
        <is>
          <t>Software development</t>
        </is>
      </c>
      <c r="B43" s="110">
        <f>F14</f>
        <v/>
      </c>
      <c r="C43" s="106">
        <f>IF(F14&gt;=0.25,"OUTCOME / Gainsharing",IF(F14&gt;=0.15,"HYBRID base+usage",IF(F14&gt;=0.08,"USAGE / CREDIT","PER-SEAT with usage cap")))</f>
        <v/>
      </c>
      <c r="D43" s="103" t="n"/>
      <c r="E43" s="103" t="n"/>
      <c r="F43" s="103" t="n"/>
      <c r="G43" s="103" t="n"/>
      <c r="H43" s="103" t="n"/>
      <c r="I43" s="103" t="n"/>
      <c r="J43" s="103" t="n"/>
    </row>
    <row r="44" ht="15" customHeight="1" s="70">
      <c r="A44" s="81" t="inlineStr">
        <is>
          <t>Customer service / support</t>
        </is>
      </c>
      <c r="B44" s="111">
        <f>F15</f>
        <v/>
      </c>
      <c r="C44" s="112">
        <f>IF(F15&gt;=0.25,"OUTCOME / Gainsharing",IF(F15&gt;=0.15,"HYBRID base+usage",IF(F15&gt;=0.08,"USAGE / CREDIT","PER-SEAT with usage cap")))</f>
        <v/>
      </c>
      <c r="D44" s="103" t="n"/>
      <c r="E44" s="103" t="n"/>
      <c r="F44" s="103" t="n"/>
      <c r="G44" s="103" t="n"/>
      <c r="H44" s="103" t="n"/>
      <c r="I44" s="103" t="n"/>
      <c r="J44" s="103" t="n"/>
    </row>
    <row r="45" ht="15" customHeight="1" s="70">
      <c r="A45" s="80" t="inlineStr">
        <is>
          <t>Writing / Marketing creative</t>
        </is>
      </c>
      <c r="B45" s="110">
        <f>F16</f>
        <v/>
      </c>
      <c r="C45" s="106">
        <f>IF(F16&gt;=0.25,"OUTCOME / Gainsharing",IF(F16&gt;=0.15,"HYBRID base+usage",IF(F16&gt;=0.08,"USAGE / CREDIT","PER-SEAT with usage cap")))</f>
        <v/>
      </c>
      <c r="D45" s="103" t="n"/>
      <c r="E45" s="103" t="n"/>
      <c r="F45" s="103" t="n"/>
      <c r="G45" s="103" t="n"/>
      <c r="H45" s="103" t="n"/>
      <c r="I45" s="103" t="n"/>
      <c r="J45" s="103" t="n"/>
    </row>
    <row r="46" ht="15" customHeight="1" s="70">
      <c r="A46" s="81" t="inlineStr">
        <is>
          <t>Sales</t>
        </is>
      </c>
      <c r="B46" s="111">
        <f>F17</f>
        <v/>
      </c>
      <c r="C46" s="112">
        <f>IF(F17&gt;=0.25,"OUTCOME / Gainsharing",IF(F17&gt;=0.15,"HYBRID base+usage",IF(F17&gt;=0.08,"USAGE / CREDIT","PER-SEAT with usage cap")))</f>
        <v/>
      </c>
      <c r="D46" s="103" t="n"/>
      <c r="E46" s="103" t="n"/>
      <c r="F46" s="103" t="n"/>
      <c r="G46" s="103" t="n"/>
      <c r="H46" s="103" t="n"/>
      <c r="I46" s="103" t="n"/>
      <c r="J46" s="103" t="n"/>
    </row>
    <row r="47" ht="15" customHeight="1" s="70">
      <c r="A47" s="80" t="inlineStr">
        <is>
          <t>Consulting / Professional services</t>
        </is>
      </c>
      <c r="B47" s="110">
        <f>F18</f>
        <v/>
      </c>
      <c r="C47" s="106">
        <f>IF(F18&gt;=0.25,"OUTCOME / Gainsharing",IF(F18&gt;=0.15,"HYBRID base+usage",IF(F18&gt;=0.08,"USAGE / CREDIT","PER-SEAT with usage cap")))</f>
        <v/>
      </c>
      <c r="D47" s="103" t="n"/>
      <c r="E47" s="103" t="n"/>
      <c r="F47" s="103" t="n"/>
      <c r="G47" s="103" t="n"/>
      <c r="H47" s="103" t="n"/>
      <c r="I47" s="103" t="n"/>
      <c r="J47" s="103" t="n"/>
    </row>
    <row r="48" ht="23.25" customHeight="1" s="70">
      <c r="A48" s="81" t="inlineStr">
        <is>
          <t>Legal — document review / drafting</t>
        </is>
      </c>
      <c r="B48" s="111">
        <f>F19</f>
        <v/>
      </c>
      <c r="C48" s="112">
        <f>IF(F19&gt;=0.25,"OUTCOME / Gainsharing",IF(F19&gt;=0.15,"HYBRID base+usage",IF(F19&gt;=0.08,"USAGE / CREDIT","PER-SEAT with usage cap")))</f>
        <v/>
      </c>
      <c r="D48" s="103" t="n"/>
      <c r="E48" s="103" t="n"/>
      <c r="F48" s="103" t="n"/>
      <c r="G48" s="103" t="n"/>
      <c r="H48" s="103" t="n"/>
      <c r="I48" s="103" t="n"/>
      <c r="J48" s="103" t="n"/>
    </row>
    <row r="49" ht="15" customHeight="1" s="70">
      <c r="A49" s="80" t="inlineStr">
        <is>
          <t>Legal — advisory (senior)</t>
        </is>
      </c>
      <c r="B49" s="110">
        <f>F20</f>
        <v/>
      </c>
      <c r="C49" s="106">
        <f>IF(F20&gt;=0.25,"OUTCOME / Gainsharing",IF(F20&gt;=0.15,"HYBRID base+usage",IF(F20&gt;=0.08,"USAGE / CREDIT","PER-SEAT with usage cap")))</f>
        <v/>
      </c>
      <c r="D49" s="103" t="n"/>
      <c r="E49" s="103" t="n"/>
      <c r="F49" s="103" t="n"/>
      <c r="G49" s="103" t="n"/>
      <c r="H49" s="103" t="n"/>
      <c r="I49" s="103" t="n"/>
      <c r="J49" s="103" t="n"/>
    </row>
    <row r="50" ht="15" customHeight="1" s="70">
      <c r="A50" s="81" t="inlineStr">
        <is>
          <t>Finance — back office / ops</t>
        </is>
      </c>
      <c r="B50" s="111">
        <f>F21</f>
        <v/>
      </c>
      <c r="C50" s="112">
        <f>IF(F21&gt;=0.25,"OUTCOME / Gainsharing",IF(F21&gt;=0.15,"HYBRID base+usage",IF(F21&gt;=0.08,"USAGE / CREDIT","PER-SEAT with usage cap")))</f>
        <v/>
      </c>
      <c r="D50" s="103" t="n"/>
      <c r="E50" s="103" t="n"/>
      <c r="F50" s="103" t="n"/>
      <c r="G50" s="103" t="n"/>
      <c r="H50" s="103" t="n"/>
      <c r="I50" s="103" t="n"/>
      <c r="J50" s="103" t="n"/>
    </row>
    <row r="51" ht="23.25" customHeight="1" s="70">
      <c r="A51" s="80" t="inlineStr">
        <is>
          <t>Financial services (FinServ overall)</t>
        </is>
      </c>
      <c r="B51" s="110">
        <f>F22</f>
        <v/>
      </c>
      <c r="C51" s="106">
        <f>IF(F22&gt;=0.25,"OUTCOME / Gainsharing",IF(F22&gt;=0.15,"HYBRID base+usage",IF(F22&gt;=0.08,"USAGE / CREDIT","PER-SEAT with usage cap")))</f>
        <v/>
      </c>
      <c r="D51" s="103" t="n"/>
      <c r="E51" s="103" t="n"/>
      <c r="F51" s="103" t="n"/>
      <c r="G51" s="103" t="n"/>
      <c r="H51" s="103" t="n"/>
      <c r="I51" s="103" t="n"/>
      <c r="J51" s="103" t="n"/>
    </row>
    <row r="52" ht="15" customHeight="1" s="70">
      <c r="A52" s="81" t="inlineStr">
        <is>
          <t>Healthcare — clinical (scribes)</t>
        </is>
      </c>
      <c r="B52" s="111">
        <f>F23</f>
        <v/>
      </c>
      <c r="C52" s="112">
        <f>IF(F23&gt;=0.25,"OUTCOME / Gainsharing",IF(F23&gt;=0.15,"HYBRID base+usage",IF(F23&gt;=0.08,"USAGE / CREDIT","PER-SEAT with usage cap")))</f>
        <v/>
      </c>
      <c r="D52" s="103" t="n"/>
      <c r="E52" s="103" t="n"/>
      <c r="F52" s="103" t="n"/>
      <c r="G52" s="103" t="n"/>
      <c r="H52" s="103" t="n"/>
      <c r="I52" s="103" t="n"/>
      <c r="J52" s="103" t="n"/>
    </row>
    <row r="53" ht="15" customHeight="1" s="70">
      <c r="A53" s="80" t="inlineStr">
        <is>
          <t>Manufacturing (lighthouses)</t>
        </is>
      </c>
      <c r="B53" s="110">
        <f>F24</f>
        <v/>
      </c>
      <c r="C53" s="106">
        <f>IF(F24&gt;=0.25,"OUTCOME / Gainsharing",IF(F24&gt;=0.15,"HYBRID base+usage",IF(F24&gt;=0.08,"USAGE / CREDIT","PER-SEAT with usage cap")))</f>
        <v/>
      </c>
      <c r="D53" s="103" t="n"/>
      <c r="E53" s="103" t="n"/>
      <c r="F53" s="103" t="n"/>
      <c r="G53" s="103" t="n"/>
      <c r="H53" s="103" t="n"/>
      <c r="I53" s="103" t="n"/>
      <c r="J53" s="103" t="n"/>
    </row>
    <row r="54" ht="15" customHeight="1" s="70">
      <c r="A54" s="81" t="inlineStr">
        <is>
          <t>Manufacturing (average plant)</t>
        </is>
      </c>
      <c r="B54" s="111">
        <f>F25</f>
        <v/>
      </c>
      <c r="C54" s="112">
        <f>IF(F25&gt;=0.25,"OUTCOME / Gainsharing",IF(F25&gt;=0.15,"HYBRID base+usage",IF(F25&gt;=0.08,"USAGE / CREDIT","PER-SEAT with usage cap")))</f>
        <v/>
      </c>
      <c r="D54" s="103" t="n"/>
      <c r="E54" s="103" t="n"/>
      <c r="F54" s="103" t="n"/>
      <c r="G54" s="103" t="n"/>
      <c r="H54" s="103" t="n"/>
      <c r="I54" s="103" t="n"/>
      <c r="J54" s="103" t="n"/>
    </row>
    <row r="55" ht="15" customHeight="1" s="70">
      <c r="A55" s="80" t="inlineStr">
        <is>
          <t>AEC / Construction</t>
        </is>
      </c>
      <c r="B55" s="110">
        <f>F26</f>
        <v/>
      </c>
      <c r="C55" s="106">
        <f>IF(F26&gt;=0.25,"OUTCOME / Gainsharing",IF(F26&gt;=0.15,"HYBRID base+usage",IF(F26&gt;=0.08,"USAGE / CREDIT","PER-SEAT with usage cap")))</f>
        <v/>
      </c>
      <c r="D55" s="103" t="n"/>
      <c r="E55" s="103" t="n"/>
      <c r="F55" s="103" t="n"/>
      <c r="G55" s="103" t="n"/>
      <c r="H55" s="103" t="n"/>
      <c r="I55" s="103" t="n"/>
      <c r="J55" s="103" t="n"/>
    </row>
    <row r="56" ht="15" customHeight="1" s="70">
      <c r="A56" s="81" t="inlineStr">
        <is>
          <t>Education</t>
        </is>
      </c>
      <c r="B56" s="111">
        <f>F27</f>
        <v/>
      </c>
      <c r="C56" s="112">
        <f>IF(F27&gt;=0.25,"OUTCOME / Gainsharing",IF(F27&gt;=0.15,"HYBRID base+usage",IF(F27&gt;=0.08,"USAGE / CREDIT","PER-SEAT with usage cap")))</f>
        <v/>
      </c>
      <c r="D56" s="103" t="n"/>
      <c r="E56" s="103" t="n"/>
      <c r="F56" s="103" t="n"/>
      <c r="G56" s="103" t="n"/>
      <c r="H56" s="103" t="n"/>
      <c r="I56" s="103" t="n"/>
      <c r="J56" s="103" t="n"/>
    </row>
    <row r="57" ht="15" customHeight="1" s="70">
      <c r="A57" s="80" t="inlineStr">
        <is>
          <t>Government / Public sector</t>
        </is>
      </c>
      <c r="B57" s="110">
        <f>F28</f>
        <v/>
      </c>
      <c r="C57" s="106">
        <f>IF(F28&gt;=0.25,"OUTCOME / Gainsharing",IF(F28&gt;=0.15,"HYBRID base+usage",IF(F28&gt;=0.08,"USAGE / CREDIT","PER-SEAT with usage cap")))</f>
        <v/>
      </c>
      <c r="D57" s="103" t="n"/>
      <c r="E57" s="103" t="n"/>
      <c r="F57" s="103" t="n"/>
      <c r="G57" s="103" t="n"/>
      <c r="H57" s="103" t="n"/>
      <c r="I57" s="103" t="n"/>
      <c r="J57" s="103" t="n"/>
    </row>
    <row r="58" ht="15" customHeight="1" s="70">
      <c r="A58" s="81" t="inlineStr">
        <is>
          <t>TMT — IT functions</t>
        </is>
      </c>
      <c r="B58" s="111">
        <f>F29</f>
        <v/>
      </c>
      <c r="C58" s="112">
        <f>IF(F29&gt;=0.25,"OUTCOME / Gainsharing",IF(F29&gt;=0.15,"HYBRID base+usage",IF(F29&gt;=0.08,"USAGE / CREDIT","PER-SEAT with usage cap")))</f>
        <v/>
      </c>
      <c r="D58" s="103" t="n"/>
      <c r="E58" s="103" t="n"/>
      <c r="F58" s="103" t="n"/>
      <c r="G58" s="103" t="n"/>
      <c r="H58" s="103" t="n"/>
      <c r="I58" s="103" t="n"/>
      <c r="J58" s="103" t="n"/>
    </row>
    <row r="59" ht="15" customHeight="1" s="70">
      <c r="A59" s="80" t="inlineStr">
        <is>
          <t>Consumer &amp; Retail — sales/ops</t>
        </is>
      </c>
      <c r="B59" s="110">
        <f>F30</f>
        <v/>
      </c>
      <c r="C59" s="106">
        <f>IF(F30&gt;=0.25,"OUTCOME / Gainsharing",IF(F30&gt;=0.15,"HYBRID base+usage",IF(F30&gt;=0.08,"USAGE / CREDIT","PER-SEAT with usage cap")))</f>
        <v/>
      </c>
      <c r="D59" s="103" t="n"/>
      <c r="E59" s="103" t="n"/>
      <c r="F59" s="103" t="n"/>
      <c r="G59" s="103" t="n"/>
      <c r="H59" s="103" t="n"/>
      <c r="I59" s="103" t="n"/>
      <c r="J59" s="103" t="n"/>
    </row>
    <row r="60" ht="23.25" customHeight="1" s="70">
      <c r="A60" s="81" t="inlineStr">
        <is>
          <t>Energy &amp; Chemicals — supply chain</t>
        </is>
      </c>
      <c r="B60" s="111">
        <f>F31</f>
        <v/>
      </c>
      <c r="C60" s="112">
        <f>IF(F31&gt;=0.25,"OUTCOME / Gainsharing",IF(F31&gt;=0.15,"HYBRID base+usage",IF(F31&gt;=0.08,"USAGE / CREDIT","PER-SEAT with usage cap")))</f>
        <v/>
      </c>
      <c r="D60" s="103" t="n"/>
      <c r="E60" s="103" t="n"/>
      <c r="F60" s="103" t="n"/>
      <c r="G60" s="103" t="n"/>
      <c r="H60" s="103" t="n"/>
      <c r="I60" s="103" t="n"/>
      <c r="J60" s="103" t="n"/>
    </row>
    <row r="62" ht="84.75" customHeight="1" s="70">
      <c r="A62" s="90" t="inlineStr">
        <is>
          <t>Insight  |  This is the dossier's load-bearing metric. VII collapses time/quality/task uplift into one number per sector. Median across 18 sector lines: ~15–18% VII. The headline finding: 90% of sectors land in the 8–25% band — supporting outcome-based or hybrid pricing for higher-VII sectors and seat-based for lower. Vendor capture rule of thumb: 10–30% of VII; on a $90K loaded-cost FTE delivering 20% VII, that's $1,800–$5,400 per FTE per year of defensible vendor revenue.</t>
        </is>
      </c>
    </row>
    <row r="63" ht="27.75" customHeight="1" s="70">
      <c r="A63" s="77" t="inlineStr">
        <is>
          <t xml:space="preserve">Source  |  Synthesis of S01-S12, ST01-ST11, V01-V05 in this pack  —  </t>
        </is>
      </c>
    </row>
    <row r="64" ht="27.75" customHeight="1" s="70">
      <c r="A64" s="77" t="inlineStr">
        <is>
          <t>Source  |  Statista 1254724 — FinServ revenue impact bands  —  https://www.statista.com/statistics/1254724/revenue-impact-of-ai-financial-services/</t>
        </is>
      </c>
    </row>
    <row r="65" ht="27.75" customHeight="1" s="70">
      <c r="A65" s="77" t="inlineStr">
        <is>
          <t>Source  |  Statista 1610952 — FinServ cost reduction bands  —  https://www.statista.com/statistics/1610952/cost-decrease-by-ai-analytics-enterprise/</t>
        </is>
      </c>
    </row>
    <row r="66" ht="27.75" customHeight="1" s="70">
      <c r="A66" s="77" t="inlineStr">
        <is>
          <t>Source  |  Statista 1610445 — GenAI value by function/sector  —  https://www.statista.com/statistics/1610445/functional-impact-of-generative-ai-worldwide/</t>
        </is>
      </c>
    </row>
    <row r="67" ht="27.75" customHeight="1" s="70">
      <c r="A67" s="77" t="inlineStr">
        <is>
          <t>Source  |  Statista Research AI session — VII proposal  —  https://www.statista.com/research-ai/chat/019e1f8f-6f89-7813-9686-730f97cc93af</t>
        </is>
      </c>
    </row>
    <row r="68" ht="27.75" customHeight="1" s="70">
      <c r="A68" s="77" t="inlineStr">
        <is>
          <t>Source  |  Hinterhuber — Towards value-based pricing  —  https://users.metu.edu.tr/mugan/Hinterhuber%202004%20value%20based%20pricing.pdf</t>
        </is>
      </c>
    </row>
    <row r="69" ht="27.75" customHeight="1" s="70">
      <c r="A69" s="77" t="inlineStr">
        <is>
          <t xml:space="preserve">Source  |  Maciej Wilczyński (Valueships) — Value Increase Index brief, May 2026  —  </t>
        </is>
      </c>
    </row>
  </sheetData>
  <mergeCells count="54">
    <mergeCell ref="A5:J5"/>
    <mergeCell ref="A8:J8"/>
    <mergeCell ref="H36:J36"/>
    <mergeCell ref="A62:J62"/>
    <mergeCell ref="C42:J42"/>
    <mergeCell ref="C58:J58"/>
    <mergeCell ref="A4:J4"/>
    <mergeCell ref="B39:D39"/>
    <mergeCell ref="C45:J45"/>
    <mergeCell ref="A10:J10"/>
    <mergeCell ref="B38:D38"/>
    <mergeCell ref="A68:J68"/>
    <mergeCell ref="A63:J63"/>
    <mergeCell ref="B37:D37"/>
    <mergeCell ref="E36:G36"/>
    <mergeCell ref="A9:J9"/>
    <mergeCell ref="A67:J67"/>
    <mergeCell ref="H37:J37"/>
    <mergeCell ref="C47:J47"/>
    <mergeCell ref="C54:J54"/>
    <mergeCell ref="A34:J34"/>
    <mergeCell ref="C50:J50"/>
    <mergeCell ref="C44:J44"/>
    <mergeCell ref="C55:J55"/>
    <mergeCell ref="A64:J64"/>
    <mergeCell ref="A1:J1"/>
    <mergeCell ref="C56:J56"/>
    <mergeCell ref="B36:D36"/>
    <mergeCell ref="C59:J59"/>
    <mergeCell ref="A6:J6"/>
    <mergeCell ref="C43:J43"/>
    <mergeCell ref="E37:G37"/>
    <mergeCell ref="C51:J51"/>
    <mergeCell ref="B35:D35"/>
    <mergeCell ref="C46:J46"/>
    <mergeCell ref="C60:J60"/>
    <mergeCell ref="A69:J69"/>
    <mergeCell ref="A7:J7"/>
    <mergeCell ref="A65:J65"/>
    <mergeCell ref="H35:J35"/>
    <mergeCell ref="C52:J52"/>
    <mergeCell ref="A41:J41"/>
    <mergeCell ref="A66:J66"/>
    <mergeCell ref="H38:J38"/>
    <mergeCell ref="C48:J48"/>
    <mergeCell ref="E39:G39"/>
    <mergeCell ref="A12:J12"/>
    <mergeCell ref="E35:G35"/>
    <mergeCell ref="C57:J57"/>
    <mergeCell ref="A2:J2"/>
    <mergeCell ref="C53:J53"/>
    <mergeCell ref="H39:J39"/>
    <mergeCell ref="E38:G38"/>
    <mergeCell ref="C49:J49"/>
  </mergeCells>
  <hyperlinks>
    <hyperlink xmlns:r="http://schemas.openxmlformats.org/officeDocument/2006/relationships" ref="A64" display="Source  |  Statista 1254724 — FinServ revenue impact bands  —  https://www.statista.com/statistics/1254724/revenue-impact-of-ai-financial-services/" r:id="rId1"/>
    <hyperlink xmlns:r="http://schemas.openxmlformats.org/officeDocument/2006/relationships" ref="A65" display="Source  |  Statista 1610952 — FinServ cost reduction bands  —  https://www.statista.com/statistics/1610952/cost-decrease-by-ai-analytics-enterprise/" r:id="rId2"/>
    <hyperlink xmlns:r="http://schemas.openxmlformats.org/officeDocument/2006/relationships" ref="A66" display="Source  |  Statista 1610445 — GenAI value by function/sector  —  https://www.statista.com/statistics/1610445/functional-impact-of-generative-ai-worldwide/" r:id="rId3"/>
    <hyperlink xmlns:r="http://schemas.openxmlformats.org/officeDocument/2006/relationships" ref="A67" display="Source  |  Statista Research AI session — VII proposal  —  https://www.statista.com/research-ai/chat/019e1f8f-6f89-7813-9686-730f97cc93af" r:id="rId4"/>
    <hyperlink xmlns:r="http://schemas.openxmlformats.org/officeDocument/2006/relationships" ref="A68" display="Source  |  Hinterhuber — Towards value-based pricing  —  https://users.metu.edu.tr/mugan/Hinterhuber%202004%20value%20based%20pricing.pdf" r:id="rId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6"/>
</worksheet>
</file>

<file path=xl/worksheets/sheet8.xml><?xml version="1.0" encoding="utf-8"?>
<worksheet xmlns="http://schemas.openxmlformats.org/spreadsheetml/2006/main">
  <sheetPr filterMode="0">
    <outlinePr summaryBelow="1" summaryRight="1"/>
    <pageSetUpPr fitToPage="0"/>
  </sheetPr>
  <dimension ref="A1:J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69" min="1" max="1"/>
    <col width="16" customWidth="1" style="69" min="2" max="10"/>
  </cols>
  <sheetData>
    <row r="1" ht="31.5" customHeight="1" s="70">
      <c r="A1" s="78" t="inlineStr">
        <is>
          <t>IDX02  |  Vendor capture worked example — 'if AI creates 20% value, vendor captures 2–6% of underlying economic base'</t>
        </is>
      </c>
    </row>
    <row r="2" ht="21.75" customHeight="1" s="70">
      <c r="A2" s="84" t="inlineStr">
        <is>
          <t>Translate VII into defensible vendor revenue per customer.</t>
        </is>
      </c>
    </row>
    <row r="4" ht="36" customHeight="1" s="70">
      <c r="A4" s="76" t="inlineStr">
        <is>
          <t>Worked example  |  Mid-size B2B services firm — 300 FTEs, mix of front and back office. Edit the YELLOW input cells to model your target customer; GREEN cells recalculate.</t>
        </is>
      </c>
    </row>
    <row r="6" ht="15" customHeight="1" s="70">
      <c r="A6" s="85" t="inlineStr">
        <is>
          <t>INPUTS (edit yellow cells)</t>
        </is>
      </c>
    </row>
    <row r="7" ht="15" customHeight="1" s="70">
      <c r="A7" s="79" t="inlineStr">
        <is>
          <t>Input</t>
        </is>
      </c>
      <c r="B7" s="79" t="inlineStr">
        <is>
          <t>Value</t>
        </is>
      </c>
      <c r="C7" s="79" t="inlineStr">
        <is>
          <t>Unit</t>
        </is>
      </c>
    </row>
    <row r="8" ht="23.25" customHeight="1" s="70">
      <c r="A8" s="80" t="inlineStr">
        <is>
          <t>Target customer headcount benefiting</t>
        </is>
      </c>
      <c r="B8" s="113" t="n">
        <v>300</v>
      </c>
      <c r="C8" s="80" t="inlineStr">
        <is>
          <t>FTE</t>
        </is>
      </c>
    </row>
    <row r="9" ht="15" customHeight="1" s="70">
      <c r="A9" s="80" t="inlineStr">
        <is>
          <t>Loaded labour cost per FTE / year</t>
        </is>
      </c>
      <c r="B9" s="97" t="n">
        <v>90000</v>
      </c>
      <c r="C9" s="80" t="inlineStr">
        <is>
          <t>USD</t>
        </is>
      </c>
    </row>
    <row r="10" ht="23.25" customHeight="1" s="70">
      <c r="A10" s="80" t="inlineStr">
        <is>
          <t>Annual revenue (for revenue-side share)</t>
        </is>
      </c>
      <c r="B10" s="113" t="n">
        <v>60000000</v>
      </c>
      <c r="C10" s="80" t="inlineStr">
        <is>
          <t>USD</t>
        </is>
      </c>
    </row>
    <row r="11" ht="23.25" customHeight="1" s="70">
      <c r="A11" s="80" t="inlineStr">
        <is>
          <t>VII estimate from IDX01 sector row (use VII%)</t>
        </is>
      </c>
      <c r="B11" s="94" t="n">
        <v>0.2</v>
      </c>
      <c r="C11" s="80" t="inlineStr">
        <is>
          <t>VII %</t>
        </is>
      </c>
    </row>
    <row r="12" ht="23.25" customHeight="1" s="70">
      <c r="A12" s="80" t="inlineStr">
        <is>
          <t>Revenue Share of Value</t>
        </is>
      </c>
      <c r="B12" s="94" t="n">
        <v>0.3</v>
      </c>
      <c r="C12" s="80" t="inlineStr">
        <is>
          <t>% of VII coming from revenue</t>
        </is>
      </c>
    </row>
    <row r="13" ht="23.25" customHeight="1" s="70">
      <c r="A13" s="80" t="inlineStr">
        <is>
          <t>Capture Rate (vendor share of VII)</t>
        </is>
      </c>
      <c r="B13" s="94" t="n">
        <v>0.2</v>
      </c>
      <c r="C13" s="80" t="inlineStr">
        <is>
          <t>10–30% typical</t>
        </is>
      </c>
    </row>
    <row r="15" ht="15" customHeight="1" s="70">
      <c r="A15" s="85" t="inlineStr">
        <is>
          <t>OUTPUTS (recalc from inputs)</t>
        </is>
      </c>
    </row>
    <row r="16" ht="15" customHeight="1" s="70">
      <c r="A16" s="79" t="inlineStr">
        <is>
          <t>Output</t>
        </is>
      </c>
      <c r="B16" s="79" t="inlineStr">
        <is>
          <t>Calculated value</t>
        </is>
      </c>
      <c r="C16" s="79" t="inlineStr">
        <is>
          <t>Note</t>
        </is>
      </c>
    </row>
    <row r="17" ht="23.25" customHeight="1" s="70">
      <c r="A17" s="80" t="inlineStr">
        <is>
          <t>Total labour cost in scope (USD/yr)</t>
        </is>
      </c>
      <c r="B17" s="98">
        <f>B8*B9</f>
        <v/>
      </c>
      <c r="C17" s="114" t="n"/>
    </row>
    <row r="18" ht="23.25" customHeight="1" s="70">
      <c r="A18" s="80" t="inlineStr">
        <is>
          <t>Total value created by AI (VII × labour cost)</t>
        </is>
      </c>
      <c r="B18" s="98">
        <f>B11*B8*B9</f>
        <v/>
      </c>
      <c r="C18" s="114" t="n"/>
    </row>
    <row r="19" ht="23.25" customHeight="1" s="70">
      <c r="A19" s="80" t="inlineStr">
        <is>
          <t>Cost-side value (1 − Rev Share × VII × labour)</t>
        </is>
      </c>
      <c r="B19" s="98">
        <f>(1-B12)*B11*B8*B9</f>
        <v/>
      </c>
      <c r="C19" s="114" t="n"/>
    </row>
    <row r="20" ht="23.25" customHeight="1" s="70">
      <c r="A20" s="80" t="inlineStr">
        <is>
          <t>Revenue-side value (Rev Share × VII × labour, conservative)</t>
        </is>
      </c>
      <c r="B20" s="98">
        <f>B12*B11*B8*B9</f>
        <v/>
      </c>
      <c r="C20" s="114" t="n"/>
    </row>
    <row r="21" ht="23.25" customHeight="1" s="70">
      <c r="A21" s="80" t="inlineStr">
        <is>
          <t>Vendor revenue from this customer (Capture × Total value)</t>
        </is>
      </c>
      <c r="B21" s="98">
        <f>B13*B11*B8*B9</f>
        <v/>
      </c>
      <c r="C21" s="114" t="n"/>
    </row>
    <row r="22" ht="15" customHeight="1" s="70">
      <c r="A22" s="80" t="inlineStr">
        <is>
          <t>Vendor revenue / FTE / yr</t>
        </is>
      </c>
      <c r="B22" s="98">
        <f>B13*B11*B9</f>
        <v/>
      </c>
      <c r="C22" s="114" t="n"/>
    </row>
    <row r="23" ht="23.25" customHeight="1" s="70">
      <c r="A23" s="80" t="inlineStr">
        <is>
          <t>Vendor revenue / FTE / month equivalent</t>
        </is>
      </c>
      <c r="B23" s="98">
        <f>B13*B11*B9/12</f>
        <v/>
      </c>
      <c r="C23" s="114" t="n"/>
    </row>
    <row r="24" ht="23.25" customHeight="1" s="70">
      <c r="A24" s="80" t="inlineStr">
        <is>
          <t>Customer retained value (= Value − Vendor capture)</t>
        </is>
      </c>
      <c r="B24" s="98">
        <f>(1-B13)*B11*B8*B9</f>
        <v/>
      </c>
      <c r="C24" s="114" t="n"/>
    </row>
    <row r="25" ht="23.25" customHeight="1" s="70">
      <c r="A25" s="80" t="inlineStr">
        <is>
          <t>Vendor capture as % of customer total labour cost</t>
        </is>
      </c>
      <c r="B25" s="96">
        <f>B13*B11</f>
        <v/>
      </c>
      <c r="C25" s="114" t="n"/>
    </row>
    <row r="26" ht="23.25" customHeight="1" s="70">
      <c r="A26" s="80" t="inlineStr">
        <is>
          <t>Customer ROI multiple (value / vendor price)</t>
        </is>
      </c>
      <c r="B26" s="115">
        <f>1/B13-1</f>
        <v/>
      </c>
      <c r="C26" s="114" t="n"/>
    </row>
    <row r="28" ht="15" customHeight="1" s="70">
      <c r="A28" s="85" t="inlineStr">
        <is>
          <t>Sanity check against Statista AI proposal</t>
        </is>
      </c>
    </row>
    <row r="29" ht="15" customHeight="1" s="70">
      <c r="A29" s="79" t="inlineStr">
        <is>
          <t>Benchmark</t>
        </is>
      </c>
      <c r="B29" s="79" t="inlineStr">
        <is>
          <t>Range</t>
        </is>
      </c>
      <c r="C29" s="79" t="inlineStr">
        <is>
          <t>Use</t>
        </is>
      </c>
    </row>
    <row r="30" ht="34.5" customHeight="1" s="70">
      <c r="A30" s="86" t="inlineStr">
        <is>
          <t>Statista AI baseline</t>
        </is>
      </c>
      <c r="B30" s="80" t="inlineStr">
        <is>
          <t>VII = 10–25% across sectors</t>
        </is>
      </c>
      <c r="C30" s="80" t="inlineStr">
        <is>
          <t>→ Cross-check vs your IDX01 VII for sector</t>
        </is>
      </c>
    </row>
    <row r="31" ht="34.5" customHeight="1" s="70">
      <c r="A31" s="86" t="inlineStr">
        <is>
          <t>Statista AI vendor capture</t>
        </is>
      </c>
      <c r="B31" s="80" t="inlineStr">
        <is>
          <t>2–6% of underlying labour cost</t>
        </is>
      </c>
      <c r="C31" s="80" t="inlineStr">
        <is>
          <t>Verify your vendor capture % above falls in band</t>
        </is>
      </c>
    </row>
    <row r="32" ht="34.5" customHeight="1" s="70">
      <c r="A32" s="86" t="inlineStr">
        <is>
          <t>Statista AI revenue mix</t>
        </is>
      </c>
      <c r="B32" s="80" t="inlineStr">
        <is>
          <t>Revenue ~20–40% of value mix</t>
        </is>
      </c>
      <c r="C32" s="80" t="inlineStr">
        <is>
          <t>Verify your Rev Share input falls in band</t>
        </is>
      </c>
    </row>
    <row r="33" ht="34.5" customHeight="1" s="70">
      <c r="A33" s="86" t="inlineStr">
        <is>
          <t>Manufacturing lighthouse outlier</t>
        </is>
      </c>
      <c r="B33" s="80" t="inlineStr">
        <is>
          <t>VII up to 150–200% on narrow processes</t>
        </is>
      </c>
      <c r="C33" s="80" t="inlineStr">
        <is>
          <t>Use ONLY for select lighthouse use cases</t>
        </is>
      </c>
    </row>
    <row r="35" ht="99.75" customHeight="1" s="70">
      <c r="A35" s="90" t="inlineStr">
        <is>
          <t>Insight  |  On the default inputs (300 FTE × $90K loaded, VII 20%, capture 20%), the model produces $5.4M of value created per year, of which the vendor captures $1.08M and the customer retains $4.32M. Vendor revenue per FTE is $3,600/yr = $300/seat/mo equivalent. Customer ROI multiple is 4x. Switch the inputs to outcome-based pricing (capture 40%): vendor takes $2.16M (still leaves customer 3x ROI). Switch to per-seat ($30/seat/mo = $360/yr × 300 = $108K): vendor captures only 2% of value — leaves 49x ROI on the table. This is the math that explains why pure per-seat is losing share to hybrid and outcome models.</t>
        </is>
      </c>
    </row>
    <row r="36" ht="27.75" customHeight="1" s="70">
      <c r="A36" s="77" t="inlineStr">
        <is>
          <t>Source  |  Statista Research AI — vendor capture 2–6% guidance  —  https://www.statista.com/research-ai/chat/019e1f8f-6f89-7813-9686-730f97cc93af</t>
        </is>
      </c>
    </row>
    <row r="37" ht="27.75" customHeight="1" s="70">
      <c r="A37" s="77" t="inlineStr">
        <is>
          <t>Source  |  Intercom Fin — outcome capture proof case  —  https://thegtmnewsletter.substack.com/p/gtm-178-intercom-ai-agent-outcome-based-pricing-archana-agrawal</t>
        </is>
      </c>
    </row>
    <row r="38" ht="27.75" customHeight="1" s="70">
      <c r="A38" s="77" t="inlineStr">
        <is>
          <t>Source  |  Bessemer — AI pricing capture benchmarks  —  https://www.bvp.com/atlas/the-ai-pricing-and-monetization-playbook</t>
        </is>
      </c>
    </row>
  </sheetData>
  <mergeCells count="7">
    <mergeCell ref="A1:J1"/>
    <mergeCell ref="A37:J37"/>
    <mergeCell ref="A36:J36"/>
    <mergeCell ref="A35:J35"/>
    <mergeCell ref="A4:J4"/>
    <mergeCell ref="A38:J38"/>
    <mergeCell ref="A2:J2"/>
  </mergeCells>
  <hyperlinks>
    <hyperlink xmlns:r="http://schemas.openxmlformats.org/officeDocument/2006/relationships" ref="A36" display="Source  |  Statista Research AI — vendor capture 2–6% guidance  —  https://www.statista.com/research-ai/chat/019e1f8f-6f89-7813-9686-730f97cc93af" r:id="rId1"/>
    <hyperlink xmlns:r="http://schemas.openxmlformats.org/officeDocument/2006/relationships" ref="A37" display="Source  |  Intercom Fin — outcome capture proof case  —  https://thegtmnewsletter.substack.com/p/gtm-178-intercom-ai-agent-outcome-based-pricing-archana-agrawal" r:id="rId2"/>
    <hyperlink xmlns:r="http://schemas.openxmlformats.org/officeDocument/2006/relationships" ref="A38" display="Source  |  Bessemer — AI pricing capture benchmarks  —  https://www.bvp.com/atlas/the-ai-pricing-and-monetization-playbook"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8" customWidth="1" style="69" min="1" max="2"/>
    <col width="22" customWidth="1" style="69" min="3" max="3"/>
    <col width="18" customWidth="1" style="69" min="4" max="4"/>
    <col width="12" customWidth="1" style="69" min="5" max="5"/>
    <col width="14" customWidth="1" style="69" min="6" max="8"/>
  </cols>
  <sheetData>
    <row r="1" ht="31.5" customHeight="1" s="70">
      <c r="A1" s="78" t="inlineStr">
        <is>
          <t>HY01  |  AI maximalist predictions vs measured reality — Amodei, Altman, Huang predict 50%+ job displacement; RCT evidence says 14–40% task uplift</t>
        </is>
      </c>
    </row>
    <row r="2" ht="21.75" customHeight="1" s="70">
      <c r="A2" s="84" t="inlineStr">
        <is>
          <t>What are the headline AI maximalist claims, and how do they stack against measured evidence?</t>
        </is>
      </c>
    </row>
    <row r="4" ht="34.5" customHeight="1" s="70">
      <c r="A4" s="79" t="inlineStr">
        <is>
          <t>AI maximalist claim</t>
        </is>
      </c>
      <c r="B4" s="79" t="inlineStr">
        <is>
          <t>Specific statement (sourced)</t>
        </is>
      </c>
      <c r="C4" s="79" t="inlineStr">
        <is>
          <t>Author / source</t>
        </is>
      </c>
      <c r="D4" s="79" t="inlineStr">
        <is>
          <t>Date</t>
        </is>
      </c>
      <c r="E4" s="79" t="inlineStr">
        <is>
          <t>Measured evidence band</t>
        </is>
      </c>
      <c r="F4" s="79" t="inlineStr">
        <is>
          <t>Evidence rating</t>
        </is>
      </c>
    </row>
    <row r="5" ht="57" customHeight="1" s="70">
      <c r="A5" s="86" t="inlineStr">
        <is>
          <t>AI replaces 50% of entry-level white-collar jobs</t>
        </is>
      </c>
      <c r="B5" s="87" t="inlineStr">
        <is>
          <t>'AI could wipe out half of all entry-level white-collar jobs within 5 years; unemployment could spike to 20%'</t>
        </is>
      </c>
      <c r="C5" s="87" t="inlineStr">
        <is>
          <t>Dario Amodei (Anthropic CEO)</t>
        </is>
      </c>
      <c r="D5" s="87" t="inlineStr">
        <is>
          <t>May 2025</t>
        </is>
      </c>
      <c r="E5" s="87" t="inlineStr">
        <is>
          <t>14–40% task uplift; net headcount typically stable or up</t>
        </is>
      </c>
      <c r="F5" s="116" t="inlineStr">
        <is>
          <t>Overstates 5–10x</t>
        </is>
      </c>
    </row>
    <row r="6" ht="90.75" customHeight="1" s="70">
      <c r="A6" s="88" t="inlineStr">
        <is>
          <t>'Powerful AI' arrives 2026; smarter than Nobel laureates</t>
        </is>
      </c>
      <c r="B6" s="89" t="inlineStr">
        <is>
          <t>'Powerful AI could come as early as 2026... smarter than a Nobel Prize winner across most fields'</t>
        </is>
      </c>
      <c r="C6" s="89" t="inlineStr">
        <is>
          <t>Dario Amodei — Machines of Loving Grace</t>
        </is>
      </c>
      <c r="D6" s="89" t="inlineStr">
        <is>
          <t>Oct 2024</t>
        </is>
      </c>
      <c r="E6" s="89" t="inlineStr">
        <is>
          <t>No model passes domain-expert benchmark consistently; hallucination 1–51%</t>
        </is>
      </c>
      <c r="F6" s="117" t="inlineStr">
        <is>
          <t>Unverifiable / aspirational</t>
        </is>
      </c>
    </row>
    <row r="7" ht="68.25" customHeight="1" s="70">
      <c r="A7" s="86" t="inlineStr">
        <is>
          <t>Achieves AGI by 2025; new cognitive workers from 2025</t>
        </is>
      </c>
      <c r="B7" s="87" t="inlineStr">
        <is>
          <t>'We are now confident we know how to build AGI as we have traditionally understood it'; '2025 agents can do real cognitive work'</t>
        </is>
      </c>
      <c r="C7" s="87" t="inlineStr">
        <is>
          <t>Sam Altman (OpenAI CEO) — Reflections</t>
        </is>
      </c>
      <c r="D7" s="87" t="inlineStr">
        <is>
          <t>Jan 2025</t>
        </is>
      </c>
      <c r="E7" s="87" t="inlineStr">
        <is>
          <t>Agents in production: 57%; quality cited as #1 barrier by 32%</t>
        </is>
      </c>
      <c r="F7" s="118" t="inlineStr">
        <is>
          <t>Capability ≠ deployment</t>
        </is>
      </c>
    </row>
    <row r="8" ht="68.25" customHeight="1" s="70">
      <c r="A8" s="88" t="inlineStr">
        <is>
          <t>Intelligence 'too cheap to meter'</t>
        </is>
      </c>
      <c r="B8" s="89" t="inlineStr">
        <is>
          <t>'Intelligence too cheap to meter is well within grasp'; everyone in 2035 to access unlimited genius</t>
        </is>
      </c>
      <c r="C8" s="89" t="inlineStr">
        <is>
          <t>Sam Altman — public talks</t>
        </is>
      </c>
      <c r="D8" s="89" t="inlineStr">
        <is>
          <t>Jul 2025</t>
        </is>
      </c>
      <c r="E8" s="89" t="inlineStr">
        <is>
          <t>GPT-class API: $3–75 / 1M tokens; effort-priced agents trending UP</t>
        </is>
      </c>
      <c r="F8" s="116" t="inlineStr">
        <is>
          <t>Contradicted by pricing</t>
        </is>
      </c>
    </row>
    <row r="9" ht="90.75" customHeight="1" s="70">
      <c r="A9" s="86" t="inlineStr">
        <is>
          <t>AGI in 5 years; everyone using AI replaces non-users</t>
        </is>
      </c>
      <c r="B9" s="87" t="inlineStr">
        <is>
          <t>'AGI within 5 years if defined as 8% better than humans on tests'; 'You'll lose your job to someone who uses AI'</t>
        </is>
      </c>
      <c r="C9" s="87" t="inlineStr">
        <is>
          <t>Jensen Huang (NVIDIA CEO)</t>
        </is>
      </c>
      <c r="D9" s="87" t="inlineStr">
        <is>
          <t>Mar 2024 / May 2025</t>
        </is>
      </c>
      <c r="E9" s="87" t="inlineStr">
        <is>
          <t>RCT shows AI users sometimes SLOWER (METR −19%); skill compression real</t>
        </is>
      </c>
      <c r="F9" s="118" t="inlineStr">
        <is>
          <t>Job augmentation supported; AGI not</t>
        </is>
      </c>
    </row>
    <row r="10" ht="57" customHeight="1" s="70">
      <c r="A10" s="88" t="inlineStr">
        <is>
          <t>AGI achieved already</t>
        </is>
      </c>
      <c r="B10" s="89" t="inlineStr">
        <is>
          <t>'We've already achieved AGI'</t>
        </is>
      </c>
      <c r="C10" s="89" t="inlineStr">
        <is>
          <t>Jensen Huang — IBT 2025</t>
        </is>
      </c>
      <c r="D10" s="89" t="inlineStr">
        <is>
          <t>2025</t>
        </is>
      </c>
      <c r="E10" s="89" t="inlineStr">
        <is>
          <t>No published benchmark agreement; GPQA/Diamond ~80%</t>
        </is>
      </c>
      <c r="F10" s="117" t="inlineStr">
        <is>
          <t>Definition contested</t>
        </is>
      </c>
    </row>
    <row r="11" ht="57" customHeight="1" s="70">
      <c r="A11" s="86" t="inlineStr">
        <is>
          <t>Anthropic Economic Index — automation share</t>
        </is>
      </c>
      <c r="B11" s="87" t="inlineStr">
        <is>
          <t>'Automation 43% / Augmentation 57% of Claude.ai conversations'</t>
        </is>
      </c>
      <c r="C11" s="87" t="inlineStr">
        <is>
          <t>Anthropic Economic Index</t>
        </is>
      </c>
      <c r="D11" s="87" t="inlineStr">
        <is>
          <t>Mar 2026</t>
        </is>
      </c>
      <c r="E11" s="87" t="inlineStr">
        <is>
          <t>Self-reported usage pattern — NOT a productivity measure</t>
        </is>
      </c>
      <c r="F11" s="117" t="inlineStr">
        <is>
          <t>Real but mis-cited</t>
        </is>
      </c>
    </row>
    <row r="12" ht="57" customHeight="1" s="70">
      <c r="A12" s="88" t="inlineStr">
        <is>
          <t>Anthropic Economic Index — job exposure</t>
        </is>
      </c>
      <c r="B12" s="89" t="inlineStr">
        <is>
          <t>'49% of jobs see Claude used for at least a quarter of tasks'</t>
        </is>
      </c>
      <c r="C12" s="89" t="inlineStr">
        <is>
          <t>Anthropic Economic Index</t>
        </is>
      </c>
      <c r="D12" s="89" t="inlineStr">
        <is>
          <t>Mar 2026</t>
        </is>
      </c>
      <c r="E12" s="89" t="inlineStr">
        <is>
          <t>Usage ≠ productivity; consistent with shadow IT pattern</t>
        </is>
      </c>
      <c r="F12" s="118" t="inlineStr">
        <is>
          <t>Usage data; not impact</t>
        </is>
      </c>
    </row>
    <row r="14" ht="15" customHeight="1" s="70">
      <c r="A14" s="85" t="inlineStr">
        <is>
          <t>Chart data — claimed vs measured AI impact (%)</t>
        </is>
      </c>
    </row>
    <row r="15" ht="15" customHeight="1" s="70">
      <c r="A15" s="79" t="inlineStr">
        <is>
          <t>Claim / measurement</t>
        </is>
      </c>
      <c r="B15" s="79" t="inlineStr">
        <is>
          <t>Magnitude %</t>
        </is>
      </c>
    </row>
    <row r="16" ht="15" customHeight="1" s="70">
      <c r="A16" s="86" t="inlineStr">
        <is>
          <t>Amodei — entry-level jobs eliminated</t>
        </is>
      </c>
      <c r="B16" s="87" t="n">
        <v>50</v>
      </c>
    </row>
    <row r="17" ht="15" customHeight="1" s="70">
      <c r="A17" s="88" t="inlineStr">
        <is>
          <t>Huang — every job 'affected'</t>
        </is>
      </c>
      <c r="B17" s="89" t="n">
        <v>100</v>
      </c>
    </row>
    <row r="18" ht="23.25" customHeight="1" s="70">
      <c r="A18" s="86" t="inlineStr">
        <is>
          <t>Anthropic Economic Index — jobs with 25%+ task exposure</t>
        </is>
      </c>
      <c r="B18" s="87" t="n">
        <v>49</v>
      </c>
    </row>
    <row r="19" ht="23.25" customHeight="1" s="70">
      <c r="A19" s="88" t="inlineStr">
        <is>
          <t>Capgemini exec expectation — tasks automated 2yrs</t>
        </is>
      </c>
      <c r="B19" s="89" t="n">
        <v>70</v>
      </c>
    </row>
    <row r="20" ht="15" customHeight="1" s="70">
      <c r="A20" s="86" t="inlineStr">
        <is>
          <t>MEASURED — task uplift midpoint (RCT)</t>
        </is>
      </c>
      <c r="B20" s="87" t="n">
        <v>25</v>
      </c>
    </row>
    <row r="21" ht="23.25" customHeight="1" s="70">
      <c r="A21" s="88" t="inlineStr">
        <is>
          <t>MEASURED — function-level cost saving modal</t>
        </is>
      </c>
      <c r="B21" s="89" t="n">
        <v>8</v>
      </c>
    </row>
    <row r="22" ht="15" customHeight="1" s="70">
      <c r="A22" s="86" t="inlineStr">
        <is>
          <t>MEASURED — FinServ profitability lift</t>
        </is>
      </c>
      <c r="B22" s="87" t="n">
        <v>40</v>
      </c>
    </row>
    <row r="23" ht="23.25" customHeight="1" s="70">
      <c r="A23" s="88" t="inlineStr">
        <is>
          <t>MEASURED — FinServ workforce minimal/unsure</t>
        </is>
      </c>
      <c r="B23" s="89" t="n">
        <v>74</v>
      </c>
    </row>
    <row r="24" ht="84.75" customHeight="1" s="70">
      <c r="A24" s="90" t="inlineStr">
        <is>
          <t>Insight  |  Five years of public maximalist claims from the four loudest CEOs — Amodei (50% job loss), Altman (AGI 2025, intelligence-too-cheap), Huang (every job affected, AGI achieved), Anthropic Economic Index (49% exposure) — diverge from RCT evidence by a 2–5x factor. Salesforce/Klarna failures show the cost of taking these claims literally. The defensible vendor position: cite the measured 20–40% band, and treat maximalist quotes as competitor positioning to neutralise — NOT to mirror.</t>
        </is>
      </c>
    </row>
    <row r="25" ht="27.75" customHeight="1" s="70">
      <c r="A25" s="77" t="inlineStr">
        <is>
          <t>Source  |  Fortune — Amodei 50% entry-level jobs warning  —  https://fortune.com/2025/05/28/anthropic-ceo-warning-ai-job-loss/</t>
        </is>
      </c>
    </row>
    <row r="26" ht="27.75" customHeight="1" s="70">
      <c r="A26" s="77" t="inlineStr">
        <is>
          <t>Source  |  Axios — Amodei 'white-collar bloodbath'  —  https://www.axios.com/2025/05/28/ai-jobs-white-collar-unemployment-anthropic</t>
        </is>
      </c>
    </row>
    <row r="27" ht="27.75" customHeight="1" s="70">
      <c r="A27" s="77" t="inlineStr">
        <is>
          <t>Source  |  Amodei — Machines of Loving Grace essay  —  https://www.darioamodei.com/essay/machines-of-loving-grace</t>
        </is>
      </c>
    </row>
    <row r="28" ht="27.75" customHeight="1" s="70">
      <c r="A28" s="77" t="inlineStr">
        <is>
          <t>Source  |  Altman — Reflections (AGI 2025 claim)  —  https://blog.samaltman.com/reflections</t>
        </is>
      </c>
    </row>
    <row r="29" ht="27.75" customHeight="1" s="70">
      <c r="A29" s="77" t="inlineStr">
        <is>
          <t>Source  |  Altman — Three Observations  —  https://blog.samaltman.com/three-observations</t>
        </is>
      </c>
    </row>
    <row r="30" ht="27.75" customHeight="1" s="70">
      <c r="A30" s="77" t="inlineStr">
        <is>
          <t>Source  |  Fortune — Altman intelligence too cheap to meter  —  https://fortune.com/2025/07/23/sam-altman-artificial-intelligence-too-cheap-jobs/</t>
        </is>
      </c>
    </row>
    <row r="31" ht="27.75" customHeight="1" s="70">
      <c r="A31" s="77" t="inlineStr">
        <is>
          <t>Source  |  CNBC — Huang 'you'll lose your job to AI user'  —  https://www.cnbc.com/2025/05/28/nvidia-ceo-jensen-huang-youll-lose-your-job-to-somebody-who-uses-ai.html</t>
        </is>
      </c>
    </row>
    <row r="32" ht="27.75" customHeight="1" s="70">
      <c r="A32" s="77" t="inlineStr">
        <is>
          <t>Source  |  TechCrunch — Huang AGI in 5 years  —  https://techcrunch.com/2024/03/19/agi-and-hallucinations/</t>
        </is>
      </c>
    </row>
    <row r="33" ht="27.75" customHeight="1" s="70">
      <c r="A33" s="77" t="inlineStr">
        <is>
          <t>Source  |  Anthropic Economic Index — March 2026 report  —  https://www.anthropic.com/research/economic-index-march-2026-report</t>
        </is>
      </c>
    </row>
    <row r="34" ht="27.75" customHeight="1" s="70">
      <c r="A34" s="77" t="inlineStr">
        <is>
          <t>Source  |  Fortune — Amodei walking back narrative 2026  —  https://fortune.com/2026/05/05/dario-amodei-jevons-paradox-will-ai-wipe-out-white-collar-jobs/</t>
        </is>
      </c>
    </row>
  </sheetData>
  <mergeCells count="13">
    <mergeCell ref="A26:H26"/>
    <mergeCell ref="A30:H30"/>
    <mergeCell ref="A29:H29"/>
    <mergeCell ref="A25:H25"/>
    <mergeCell ref="A24:H24"/>
    <mergeCell ref="A2:H2"/>
    <mergeCell ref="A28:H28"/>
    <mergeCell ref="A33:H33"/>
    <mergeCell ref="A1:H1"/>
    <mergeCell ref="A32:H32"/>
    <mergeCell ref="A27:H27"/>
    <mergeCell ref="A31:H31"/>
    <mergeCell ref="A34:H34"/>
  </mergeCells>
  <hyperlinks>
    <hyperlink xmlns:r="http://schemas.openxmlformats.org/officeDocument/2006/relationships" ref="A25" display="Source  |  Fortune — Amodei 50% entry-level jobs warning  —  https://fortune.com/2025/05/28/anthropic-ceo-warning-ai-job-loss/" r:id="rId1"/>
    <hyperlink xmlns:r="http://schemas.openxmlformats.org/officeDocument/2006/relationships" ref="A26" display="Source  |  Axios — Amodei 'white-collar bloodbath'  —  https://www.axios.com/2025/05/28/ai-jobs-white-collar-unemployment-anthropic" r:id="rId2"/>
    <hyperlink xmlns:r="http://schemas.openxmlformats.org/officeDocument/2006/relationships" ref="A27" display="Source  |  Amodei — Machines of Loving Grace essay  —  https://www.darioamodei.com/essay/machines-of-loving-grace" r:id="rId3"/>
    <hyperlink xmlns:r="http://schemas.openxmlformats.org/officeDocument/2006/relationships" ref="A28" display="Source  |  Altman — Reflections (AGI 2025 claim)  —  https://blog.samaltman.com/reflections" r:id="rId4"/>
    <hyperlink xmlns:r="http://schemas.openxmlformats.org/officeDocument/2006/relationships" ref="A29" display="Source  |  Altman — Three Observations  —  https://blog.samaltman.com/three-observations" r:id="rId5"/>
    <hyperlink xmlns:r="http://schemas.openxmlformats.org/officeDocument/2006/relationships" ref="A30" display="Source  |  Fortune — Altman intelligence too cheap to meter  —  https://fortune.com/2025/07/23/sam-altman-artificial-intelligence-too-cheap-jobs/" r:id="rId6"/>
    <hyperlink xmlns:r="http://schemas.openxmlformats.org/officeDocument/2006/relationships" ref="A31" display="Source  |  CNBC — Huang 'you'll lose your job to AI user'  —  https://www.cnbc.com/2025/05/28/nvidia-ceo-jensen-huang-youll-lose-your-job-to-somebody-who-uses-ai.html" r:id="rId7"/>
    <hyperlink xmlns:r="http://schemas.openxmlformats.org/officeDocument/2006/relationships" ref="A32" display="Source  |  TechCrunch — Huang AGI in 5 years  —  https://techcrunch.com/2024/03/19/agi-and-hallucinations/" r:id="rId8"/>
    <hyperlink xmlns:r="http://schemas.openxmlformats.org/officeDocument/2006/relationships" ref="A33" display="Source  |  Anthropic Economic Index — March 2026 report  —  https://www.anthropic.com/research/economic-index-march-2026-report" r:id="rId9"/>
    <hyperlink xmlns:r="http://schemas.openxmlformats.org/officeDocument/2006/relationships" ref="A34" display="Source  |  Fortune — Amodei walking back narrative 2026  —  https://fortune.com/2026/05/05/dario-amodei-jevons-paradox-will-ai-wipe-out-white-collar-jobs/" r:id="rId1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1"/>
</worksheet>
</file>

<file path=xl/worksheets/sheet10.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69" min="1" max="1"/>
    <col width="20" customWidth="1" style="69" min="2" max="3"/>
    <col width="16" customWidth="1" style="69" min="4" max="4"/>
    <col width="14" customWidth="1" style="69" min="5" max="8"/>
  </cols>
  <sheetData>
    <row r="1" ht="31.5" customHeight="1" s="70">
      <c r="A1" s="78" t="inlineStr">
        <is>
          <t>HY02  |  Anthropic's own data shows augmentation (57%) &gt; automation (43%) — and exposure ≠ productivity impact</t>
        </is>
      </c>
    </row>
    <row r="2" ht="21.75" customHeight="1" s="70">
      <c r="A2" s="84" t="inlineStr">
        <is>
          <t>What does Anthropic's published AI usage data actually say about the labour market?</t>
        </is>
      </c>
    </row>
    <row r="4" ht="23.25" customHeight="1" s="70">
      <c r="A4" s="79" t="inlineStr">
        <is>
          <t>Metric</t>
        </is>
      </c>
      <c r="B4" s="79" t="inlineStr">
        <is>
          <t>Value</t>
        </is>
      </c>
      <c r="C4" s="79" t="inlineStr">
        <is>
          <t>Period / scope</t>
        </is>
      </c>
      <c r="D4" s="79" t="inlineStr">
        <is>
          <t>What this actually means</t>
        </is>
      </c>
    </row>
    <row r="5" ht="34.5" customHeight="1" s="70">
      <c r="A5" s="86" t="inlineStr">
        <is>
          <t>Augmentation share of Claude.ai use</t>
        </is>
      </c>
      <c r="B5" s="87" t="inlineStr">
        <is>
          <t>57%</t>
        </is>
      </c>
      <c r="C5" s="87" t="inlineStr">
        <is>
          <t>Mar 2026</t>
        </is>
      </c>
      <c r="D5" s="87" t="inlineStr">
        <is>
          <t>Human iterates with AI — NOT autonomous</t>
        </is>
      </c>
    </row>
    <row r="6" ht="23.25" customHeight="1" s="70">
      <c r="A6" s="88" t="inlineStr">
        <is>
          <t>Automation share of Claude.ai use</t>
        </is>
      </c>
      <c r="B6" s="89" t="inlineStr">
        <is>
          <t>43%</t>
        </is>
      </c>
      <c r="C6" s="89" t="inlineStr">
        <is>
          <t>Mar 2026</t>
        </is>
      </c>
      <c r="D6" s="89" t="inlineStr">
        <is>
          <t>Hands-off task delegation</t>
        </is>
      </c>
    </row>
    <row r="7" ht="34.5" customHeight="1" s="70">
      <c r="A7" s="86" t="inlineStr">
        <is>
          <t>Trend Aug-25 → Mar-26</t>
        </is>
      </c>
      <c r="B7" s="87" t="inlineStr">
        <is>
          <t>Automation 49% → 43%</t>
        </is>
      </c>
      <c r="C7" s="87" t="inlineStr">
        <is>
          <t>Reversal of earlier trend</t>
        </is>
      </c>
      <c r="D7" s="87" t="inlineStr">
        <is>
          <t>Suggests humans pulling back from full delegation</t>
        </is>
      </c>
    </row>
    <row r="8" ht="23.25" customHeight="1" s="70">
      <c r="A8" s="88" t="inlineStr">
        <is>
          <t>Jobs with ≥25% of tasks done with Claude</t>
        </is>
      </c>
      <c r="B8" s="89" t="inlineStr">
        <is>
          <t>49% of occupations</t>
        </is>
      </c>
      <c r="C8" s="89" t="inlineStr">
        <is>
          <t>Pooled data</t>
        </is>
      </c>
      <c r="D8" s="89" t="inlineStr">
        <is>
          <t>Exposure metric; not productivity</t>
        </is>
      </c>
    </row>
    <row r="9" ht="23.25" customHeight="1" s="70">
      <c r="A9" s="86" t="inlineStr">
        <is>
          <t>Jobs with ≥75% of tasks done with Claude</t>
        </is>
      </c>
      <c r="B9" s="87" t="inlineStr">
        <is>
          <t>~4% of occupations</t>
        </is>
      </c>
      <c r="C9" s="87" t="inlineStr">
        <is>
          <t>Pooled data</t>
        </is>
      </c>
      <c r="D9" s="87" t="inlineStr">
        <is>
          <t>Heavy users — narrow band</t>
        </is>
      </c>
    </row>
    <row r="10" ht="34.5" customHeight="1" s="70">
      <c r="A10" s="88" t="inlineStr">
        <is>
          <t>Highest augmentation category</t>
        </is>
      </c>
      <c r="B10" s="89" t="inlineStr">
        <is>
          <t>~75% augmentation</t>
        </is>
      </c>
      <c r="C10" s="89" t="inlineStr">
        <is>
          <t>Community &amp; Social Service</t>
        </is>
      </c>
      <c r="D10" s="89" t="inlineStr">
        <is>
          <t>Education, counseling — fits 'human-in-loop'</t>
        </is>
      </c>
    </row>
    <row r="11" ht="34.5" customHeight="1" s="70">
      <c r="A11" s="86" t="inlineStr">
        <is>
          <t>Most automation-skewed category</t>
        </is>
      </c>
      <c r="B11" s="87" t="inlineStr">
        <is>
          <t>~50% automation</t>
        </is>
      </c>
      <c r="C11" s="87" t="inlineStr">
        <is>
          <t>Production / Computer &amp; Math</t>
        </is>
      </c>
      <c r="D11" s="87" t="inlineStr">
        <is>
          <t>Even here, automation &lt; majority</t>
        </is>
      </c>
    </row>
    <row r="12" ht="34.5" customHeight="1" s="70">
      <c r="A12" s="88" t="inlineStr">
        <is>
          <t>Highest task iteration</t>
        </is>
      </c>
      <c r="B12" s="89" t="inlineStr">
        <is>
          <t>Copywriters / editors</t>
        </is>
      </c>
      <c r="C12" s="89" t="inlineStr">
        <is>
          <t>By occupation</t>
        </is>
      </c>
      <c r="D12" s="89" t="inlineStr">
        <is>
          <t>Writing = collaborative, not delegated</t>
        </is>
      </c>
    </row>
    <row r="13" ht="23.25" customHeight="1" s="70">
      <c r="A13" s="86" t="inlineStr">
        <is>
          <t>Highest directive (one-shot) behaviour</t>
        </is>
      </c>
      <c r="B13" s="87" t="inlineStr">
        <is>
          <t>Translators / interpreters</t>
        </is>
      </c>
      <c r="C13" s="87" t="inlineStr">
        <is>
          <t>By occupation</t>
        </is>
      </c>
      <c r="D13" s="87" t="inlineStr">
        <is>
          <t>Narrow task, well-defined output</t>
        </is>
      </c>
    </row>
    <row r="15" ht="15" customHeight="1" s="70">
      <c r="A15" s="85" t="inlineStr">
        <is>
          <t>Chart data — Anthropic Economic Index automation vs augmentation</t>
        </is>
      </c>
    </row>
    <row r="16" ht="15" customHeight="1" s="70">
      <c r="A16" s="79" t="inlineStr">
        <is>
          <t>Period / type</t>
        </is>
      </c>
      <c r="B16" s="79" t="inlineStr">
        <is>
          <t>% share</t>
        </is>
      </c>
    </row>
    <row r="17" ht="15" customHeight="1" s="70">
      <c r="A17" s="86" t="inlineStr">
        <is>
          <t>Augmentation (Mar 2026)</t>
        </is>
      </c>
      <c r="B17" s="87" t="n">
        <v>57</v>
      </c>
    </row>
    <row r="18" ht="15" customHeight="1" s="70">
      <c r="A18" s="88" t="inlineStr">
        <is>
          <t>Automation (Mar 2026)</t>
        </is>
      </c>
      <c r="B18" s="89" t="n">
        <v>43</v>
      </c>
    </row>
    <row r="19" ht="15" customHeight="1" s="70">
      <c r="A19" s="86" t="inlineStr">
        <is>
          <t>Augmentation (Aug 2025)</t>
        </is>
      </c>
      <c r="B19" s="87" t="n">
        <v>47</v>
      </c>
    </row>
    <row r="20" ht="15" customHeight="1" s="70">
      <c r="A20" s="88" t="inlineStr">
        <is>
          <t>Automation (Aug 2025)</t>
        </is>
      </c>
      <c r="B20" s="89" t="n">
        <v>49</v>
      </c>
    </row>
    <row r="21" ht="84.75" customHeight="1" s="70">
      <c r="A21" s="90" t="inlineStr">
        <is>
          <t>Insight  |  Even Anthropic's published data — the one Amodei built his '50% job loss' framing on — shows augmentation (human-in-the-loop) is now the dominant pattern (57%) and growing relative to automation. The Economic Index measures USAGE, not productivity, not headcount impact. Using it to claim '49% of jobs are AI-exposed' conflates 'someone in this job tried Claude on a quarter of their tasks' with 'a quarter of this job has been automated'. The two are very different things.</t>
        </is>
      </c>
    </row>
    <row r="22" ht="27.75" customHeight="1" s="70">
      <c r="A22" s="77" t="inlineStr">
        <is>
          <t>Source  |  Anthropic Economic Index — landing  —  https://www.anthropic.com/economic-index</t>
        </is>
      </c>
    </row>
    <row r="23" ht="27.75" customHeight="1" s="70">
      <c r="A23" s="77" t="inlineStr">
        <is>
          <t>Source  |  Anthropic Economic Index — January 2026 report  —  https://www.anthropic.com/research/anthropic-economic-index-january-2026-report</t>
        </is>
      </c>
    </row>
    <row r="24" ht="27.75" customHeight="1" s="70">
      <c r="A24" s="77" t="inlineStr">
        <is>
          <t>Source  |  Anthropic Economic Index — March 2026 report  —  https://www.anthropic.com/research/economic-index-march-2026-report</t>
        </is>
      </c>
    </row>
    <row r="25" ht="27.75" customHeight="1" s="70">
      <c r="A25" s="77" t="inlineStr">
        <is>
          <t>Source  |  Anthropic — Introducing the Economic Index  —  https://www.anthropic.com/news/the-anthropic-economic-index</t>
        </is>
      </c>
    </row>
  </sheetData>
  <mergeCells count="7">
    <mergeCell ref="A21:H21"/>
    <mergeCell ref="A25:H25"/>
    <mergeCell ref="A24:H24"/>
    <mergeCell ref="A2:H2"/>
    <mergeCell ref="A1:H1"/>
    <mergeCell ref="A23:H23"/>
    <mergeCell ref="A22:H22"/>
  </mergeCells>
  <hyperlinks>
    <hyperlink xmlns:r="http://schemas.openxmlformats.org/officeDocument/2006/relationships" ref="A22" display="Source  |  Anthropic Economic Index — landing  —  https://www.anthropic.com/economic-index" r:id="rId1"/>
    <hyperlink xmlns:r="http://schemas.openxmlformats.org/officeDocument/2006/relationships" ref="A23" display="Source  |  Anthropic Economic Index — January 2026 report  —  https://www.anthropic.com/research/anthropic-economic-index-january-2026-report" r:id="rId2"/>
    <hyperlink xmlns:r="http://schemas.openxmlformats.org/officeDocument/2006/relationships" ref="A24" display="Source  |  Anthropic Economic Index — March 2026 report  —  https://www.anthropic.com/research/economic-index-march-2026-report" r:id="rId3"/>
    <hyperlink xmlns:r="http://schemas.openxmlformats.org/officeDocument/2006/relationships" ref="A25" display="Source  |  Anthropic — Introducing the Economic Index  —  https://www.anthropic.com/news/the-anthropic-economic-index" r:id="rId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5"/>
</worksheet>
</file>

<file path=xl/worksheets/sheet11.xml><?xml version="1.0" encoding="utf-8"?>
<worksheet xmlns="http://schemas.openxmlformats.org/spreadsheetml/2006/main">
  <sheetPr filterMode="0">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M01  |  Realised AI productivity gains cluster at 14–40% — far below the 10x narrative implied by capex and layoff announcements</t>
        </is>
      </c>
    </row>
    <row r="2" ht="21.75" customHeight="1" s="70">
      <c r="A2" s="84" t="inlineStr">
        <is>
          <t>What is the actual productivity uplift from generative AI across the most rigorous studies to date?</t>
        </is>
      </c>
    </row>
    <row r="4" ht="23.25" customHeight="1" s="70">
      <c r="A4" s="79" t="inlineStr">
        <is>
          <t>Study / source</t>
        </is>
      </c>
      <c r="B4" s="79" t="inlineStr">
        <is>
          <t>Population</t>
        </is>
      </c>
      <c r="C4" s="79" t="inlineStr">
        <is>
          <t>Productivity uplift</t>
        </is>
      </c>
      <c r="D4" s="79" t="inlineStr">
        <is>
          <t>Quality change</t>
        </is>
      </c>
      <c r="E4" s="79" t="inlineStr">
        <is>
          <t>Year</t>
        </is>
      </c>
    </row>
    <row r="5" ht="34.5" customHeight="1" s="70">
      <c r="A5" s="86" t="inlineStr">
        <is>
          <t>Noy &amp; Zhang (Science, 2023)</t>
        </is>
      </c>
      <c r="B5" s="87" t="inlineStr">
        <is>
          <t>453 professionals — writing tasks</t>
        </is>
      </c>
      <c r="C5" s="87" t="inlineStr">
        <is>
          <t>37% time saved</t>
        </is>
      </c>
      <c r="D5" s="87" t="inlineStr">
        <is>
          <t>+18% quality</t>
        </is>
      </c>
      <c r="E5" s="87" t="n">
        <v>2023</v>
      </c>
    </row>
    <row r="6" ht="23.25" customHeight="1" s="70">
      <c r="A6" s="88" t="inlineStr">
        <is>
          <t>Brynjolfsson, Li &amp; Raymond (NBER/QJE, 2025)</t>
        </is>
      </c>
      <c r="B6" s="89" t="inlineStr">
        <is>
          <t>5,179 customer support agents</t>
        </is>
      </c>
      <c r="C6" s="89" t="inlineStr">
        <is>
          <t>14–15% issues/hr</t>
        </is>
      </c>
      <c r="D6" s="89" t="inlineStr">
        <is>
          <t>+ customer sentiment</t>
        </is>
      </c>
      <c r="E6" s="89" t="n">
        <v>2023</v>
      </c>
    </row>
    <row r="7" ht="23.25" customHeight="1" s="70">
      <c r="A7" s="86" t="inlineStr">
        <is>
          <t>Dell'Acqua et al. / BCG-HBS (2023)</t>
        </is>
      </c>
      <c r="B7" s="87" t="inlineStr">
        <is>
          <t>758 BCG consultants</t>
        </is>
      </c>
      <c r="C7" s="87" t="inlineStr">
        <is>
          <t>25% faster, +12% tasks</t>
        </is>
      </c>
      <c r="D7" s="87" t="inlineStr">
        <is>
          <t>+40% quality on AI-fit tasks</t>
        </is>
      </c>
      <c r="E7" s="87" t="n">
        <v>2023</v>
      </c>
    </row>
    <row r="8" ht="34.5" customHeight="1" s="70">
      <c r="A8" s="88" t="inlineStr">
        <is>
          <t>GitHub / MS Research (Copilot, 2023)</t>
        </is>
      </c>
      <c r="B8" s="89" t="inlineStr">
        <is>
          <t>95 developers — controlled trial</t>
        </is>
      </c>
      <c r="C8" s="89" t="inlineStr">
        <is>
          <t>55% faster (HTTP server task)</t>
        </is>
      </c>
      <c r="D8" s="89" t="inlineStr">
        <is>
          <t>+8 pp completion rate</t>
        </is>
      </c>
      <c r="E8" s="89" t="n">
        <v>2023</v>
      </c>
    </row>
    <row r="9" ht="23.25" customHeight="1" s="70">
      <c r="A9" s="86" t="inlineStr">
        <is>
          <t>METR (open-source devs, 2025)</t>
        </is>
      </c>
      <c r="B9" s="87" t="inlineStr">
        <is>
          <t>16 experienced OSS developers</t>
        </is>
      </c>
      <c r="C9" s="87" t="inlineStr">
        <is>
          <t>−19% (slower)</t>
        </is>
      </c>
      <c r="D9" s="87" t="inlineStr">
        <is>
          <t>perception gap: +20% felt</t>
        </is>
      </c>
      <c r="E9" s="87" t="n">
        <v>2025</v>
      </c>
    </row>
    <row r="10" ht="23.25" customHeight="1" s="70">
      <c r="A10" s="88" t="inlineStr">
        <is>
          <t>BCG AI at Work 2025</t>
        </is>
      </c>
      <c r="B10" s="89" t="inlineStr">
        <is>
          <t>10,600 workers, 11 countries</t>
        </is>
      </c>
      <c r="C10" s="89" t="inlineStr">
        <is>
          <t>47% save &gt;6 hrs/week</t>
        </is>
      </c>
      <c r="D10" s="89" t="inlineStr">
        <is>
          <t>self-reported</t>
        </is>
      </c>
      <c r="E10" s="89" t="n">
        <v>2025</v>
      </c>
    </row>
    <row r="11" ht="23.25" customHeight="1" s="70">
      <c r="A11" s="86" t="inlineStr">
        <is>
          <t>Microsoft Work Trend Index (2024)</t>
        </is>
      </c>
      <c r="B11" s="87" t="inlineStr">
        <is>
          <t>31,000 workers, 31 countries</t>
        </is>
      </c>
      <c r="C11" s="87" t="inlineStr">
        <is>
          <t>70% feel more productive</t>
        </is>
      </c>
      <c r="D11" s="87" t="inlineStr">
        <is>
          <t>29% faster on tasks</t>
        </is>
      </c>
      <c r="E11" s="87" t="n">
        <v>2024</v>
      </c>
    </row>
    <row r="12" ht="34.5" customHeight="1" s="70">
      <c r="A12" s="88" t="inlineStr">
        <is>
          <t>Stanford AI Index 2025 (McKinsey data)</t>
        </is>
      </c>
      <c r="B12" s="89" t="inlineStr">
        <is>
          <t>Enterprise survey</t>
        </is>
      </c>
      <c r="C12" s="89" t="inlineStr">
        <is>
          <t>&lt;10% cost saving most common</t>
        </is>
      </c>
      <c r="D12" s="89" t="inlineStr">
        <is>
          <t>&lt;5% revenue uplift most common</t>
        </is>
      </c>
      <c r="E12" s="89" t="n">
        <v>2025</v>
      </c>
    </row>
    <row r="14" ht="15" customHeight="1" s="70">
      <c r="A14" s="85" t="inlineStr">
        <is>
          <t>Chart data — productivity uplift midpoint (%)</t>
        </is>
      </c>
    </row>
    <row r="15" ht="15" customHeight="1" s="70">
      <c r="A15" s="79" t="inlineStr">
        <is>
          <t>Study</t>
        </is>
      </c>
      <c r="B15" s="79" t="inlineStr">
        <is>
          <t>Uplift %</t>
        </is>
      </c>
    </row>
    <row r="16" ht="15" customHeight="1" s="70">
      <c r="A16" s="86" t="inlineStr">
        <is>
          <t>Noy/Zhang writing</t>
        </is>
      </c>
      <c r="B16" s="119" t="n">
        <v>0.37</v>
      </c>
    </row>
    <row r="17" ht="15" customHeight="1" s="70">
      <c r="A17" s="88" t="inlineStr">
        <is>
          <t>Brynjolfsson CS support</t>
        </is>
      </c>
      <c r="B17" s="120" t="n">
        <v>0.15</v>
      </c>
    </row>
    <row r="18" ht="15" customHeight="1" s="70">
      <c r="A18" s="86" t="inlineStr">
        <is>
          <t>BCG-HBS consulting (within frontier)</t>
        </is>
      </c>
      <c r="B18" s="119" t="n">
        <v>0.25</v>
      </c>
    </row>
    <row r="19" ht="15" customHeight="1" s="70">
      <c r="A19" s="88" t="inlineStr">
        <is>
          <t>Copilot dev (controlled)</t>
        </is>
      </c>
      <c r="B19" s="120" t="n">
        <v>0.55</v>
      </c>
    </row>
    <row r="20" ht="15" customHeight="1" s="70">
      <c r="A20" s="86" t="inlineStr">
        <is>
          <t>METR OSS dev (real-world)</t>
        </is>
      </c>
      <c r="B20" s="119" t="n">
        <v>-0.19</v>
      </c>
    </row>
    <row r="21" ht="15" customHeight="1" s="70">
      <c r="A21" s="88" t="inlineStr">
        <is>
          <t>BCG AI@Work self-report</t>
        </is>
      </c>
      <c r="B21" s="120" t="n">
        <v>0.3</v>
      </c>
    </row>
    <row r="22" ht="15" customHeight="1" s="70">
      <c r="A22" s="86" t="inlineStr">
        <is>
          <t>MS Copilot speed</t>
        </is>
      </c>
      <c r="B22" s="119" t="n">
        <v>0.29</v>
      </c>
    </row>
    <row r="23" ht="15" customHeight="1" s="70">
      <c r="A23" s="88" t="inlineStr">
        <is>
          <t>McKinsey enterprise (cost save)</t>
        </is>
      </c>
      <c r="B23" s="120" t="n">
        <v>0.1</v>
      </c>
    </row>
    <row r="25" ht="45" customHeight="1" s="70">
      <c r="A25" s="90" t="inlineStr">
        <is>
          <t>Insight  |  The 'AI is 10x' narrative is not supported by RCT-style evidence. Realised uplift sits at ~15–40% on AI-fitted tasks, with negative effects when AI is applied to mis-fit tasks (METR −19%). Most rigorous studies converge on a 2x — not 10x — productivity factor.</t>
        </is>
      </c>
    </row>
    <row r="26" ht="30" customHeight="1" s="70">
      <c r="A26" s="77" t="inlineStr">
        <is>
          <t>Source  |  Noy &amp; Zhang, Science 2023  —  https://www.science.org/doi/10.1126/science.adh2586</t>
        </is>
      </c>
    </row>
    <row r="27" ht="30" customHeight="1" s="70">
      <c r="A27" s="77" t="inlineStr">
        <is>
          <t>Source  |  Brynjolfsson, Li, Raymond — NBER w31161  —  https://www.nber.org/papers/w31161</t>
        </is>
      </c>
    </row>
    <row r="28" ht="30" customHeight="1" s="70">
      <c r="A28" s="77" t="inlineStr">
        <is>
          <t>Source  |  Dell'Acqua et al., HBS 24-013  —  https://www.hbs.edu/ris/Publication%20Files/24-013_d9b45b68-9e74-42d6-a1c6-c72fb70c7282.pdf</t>
        </is>
      </c>
    </row>
    <row r="29" ht="30" customHeight="1" s="70">
      <c r="A29" s="77" t="inlineStr">
        <is>
          <t>Source  |  GitHub Copilot study, arXiv 2302.06590  —  https://arxiv.org/abs/2302.06590</t>
        </is>
      </c>
    </row>
    <row r="30" ht="30" customHeight="1" s="70">
      <c r="A30" s="77" t="inlineStr">
        <is>
          <t>Source  |  METR — Early-2025 AI on OSS devs  —  https://metr.org/blog/2025-07-10-early-2025-ai-experienced-os-dev-study/</t>
        </is>
      </c>
    </row>
    <row r="31" ht="30" customHeight="1" s="70">
      <c r="A31" s="77" t="inlineStr">
        <is>
          <t>Source  |  BCG AI at Work 2025  —  https://www.bcg.com/publications/2025/ai-at-work-momentum-builds-but-gaps-remain</t>
        </is>
      </c>
    </row>
    <row r="32" ht="30" customHeight="1" s="70">
      <c r="A32" s="77" t="inlineStr">
        <is>
          <t>Source  |  Microsoft Work Trend Index 2024  —  https://www.microsoft.com/en-us/worklab/work-trend-index/ai-at-work-is-here-now-comes-the-hard-part</t>
        </is>
      </c>
    </row>
    <row r="33" ht="30" customHeight="1" s="70">
      <c r="A33" s="77" t="inlineStr">
        <is>
          <t>Source  |  Stanford AI Index 2025, Ch.4 Economy  —  https://hai.stanford.edu/assets/files/hai_ai-index-report-2025_chapter4_final.pdf</t>
        </is>
      </c>
    </row>
  </sheetData>
  <mergeCells count="11">
    <mergeCell ref="A26:H26"/>
    <mergeCell ref="A30:H30"/>
    <mergeCell ref="A29:H29"/>
    <mergeCell ref="A25:H25"/>
    <mergeCell ref="A2:H2"/>
    <mergeCell ref="A28:H28"/>
    <mergeCell ref="A33:H33"/>
    <mergeCell ref="A1:H1"/>
    <mergeCell ref="A32:H32"/>
    <mergeCell ref="A27:H27"/>
    <mergeCell ref="A31:H31"/>
  </mergeCells>
  <hyperlinks>
    <hyperlink xmlns:r="http://schemas.openxmlformats.org/officeDocument/2006/relationships" ref="A26" display="Source  |  Noy &amp; Zhang, Science 2023  —  https://www.science.org/doi/10.1126/science.adh2586" r:id="rId1"/>
    <hyperlink xmlns:r="http://schemas.openxmlformats.org/officeDocument/2006/relationships" ref="A27" display="Source  |  Brynjolfsson, Li, Raymond — NBER w31161  —  https://www.nber.org/papers/w31161" r:id="rId2"/>
    <hyperlink xmlns:r="http://schemas.openxmlformats.org/officeDocument/2006/relationships" ref="A28" display="Source  |  Dell'Acqua et al., HBS 24-013  —  https://www.hbs.edu/ris/Publication%20Files/24-013_d9b45b68-9e74-42d6-a1c6-c72fb70c7282.pdf" r:id="rId3"/>
    <hyperlink xmlns:r="http://schemas.openxmlformats.org/officeDocument/2006/relationships" ref="A29" display="Source  |  GitHub Copilot study, arXiv 2302.06590  —  https://arxiv.org/abs/2302.06590" r:id="rId4"/>
    <hyperlink xmlns:r="http://schemas.openxmlformats.org/officeDocument/2006/relationships" ref="A30" display="Source  |  METR — Early-2025 AI on OSS devs  —  https://metr.org/blog/2025-07-10-early-2025-ai-experienced-os-dev-study/" r:id="rId5"/>
    <hyperlink xmlns:r="http://schemas.openxmlformats.org/officeDocument/2006/relationships" ref="A31" display="Source  |  BCG AI at Work 2025  —  https://www.bcg.com/publications/2025/ai-at-work-momentum-builds-but-gaps-remain" r:id="rId6"/>
    <hyperlink xmlns:r="http://schemas.openxmlformats.org/officeDocument/2006/relationships" ref="A32" display="Source  |  Microsoft Work Trend Index 2024  —  https://www.microsoft.com/en-us/worklab/work-trend-index/ai-at-work-is-here-now-comes-the-hard-part" r:id="rId7"/>
    <hyperlink xmlns:r="http://schemas.openxmlformats.org/officeDocument/2006/relationships" ref="A33" display="Source  |  Stanford AI Index 2025, Ch.4 Economy  —  https://hai.stanford.edu/assets/files/hai_ai-index-report-2025_chapter4_final.pdf" r:id="rId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9"/>
</worksheet>
</file>

<file path=xl/worksheets/sheet12.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M02  |  McKinsey estimates GenAI's annual economic value at $2.6–4.4T — 75% concentrated in four functions</t>
        </is>
      </c>
    </row>
    <row r="2" ht="21.75" customHeight="1" s="70">
      <c r="A2" s="84" t="inlineStr">
        <is>
          <t>How large is the addressable productivity prize, and where does the value sit?</t>
        </is>
      </c>
    </row>
    <row r="4" ht="34.5" customHeight="1" s="70">
      <c r="A4" s="79" t="inlineStr">
        <is>
          <t>Function</t>
        </is>
      </c>
      <c r="B4" s="79" t="inlineStr">
        <is>
          <t>Annual value contribution ($B, midpoint)</t>
        </is>
      </c>
      <c r="C4" s="79" t="inlineStr">
        <is>
          <t>Share of total</t>
        </is>
      </c>
    </row>
    <row r="5" ht="15" customHeight="1" s="70">
      <c r="A5" s="86" t="inlineStr">
        <is>
          <t>Customer operations</t>
        </is>
      </c>
      <c r="B5" s="121" t="n">
        <v>525</v>
      </c>
      <c r="C5" s="122" t="n">
        <v>0.15</v>
      </c>
    </row>
    <row r="6" ht="15" customHeight="1" s="70">
      <c r="A6" s="88" t="inlineStr">
        <is>
          <t>Marketing &amp; sales</t>
        </is>
      </c>
      <c r="B6" s="123" t="n">
        <v>575</v>
      </c>
      <c r="C6" s="124" t="n">
        <v>0.16</v>
      </c>
    </row>
    <row r="7" ht="15" customHeight="1" s="70">
      <c r="A7" s="86" t="inlineStr">
        <is>
          <t>Software engineering</t>
        </is>
      </c>
      <c r="B7" s="121" t="n">
        <v>425</v>
      </c>
      <c r="C7" s="122" t="n">
        <v>0.12</v>
      </c>
    </row>
    <row r="8" ht="15" customHeight="1" s="70">
      <c r="A8" s="88" t="inlineStr">
        <is>
          <t>R&amp;D</t>
        </is>
      </c>
      <c r="B8" s="123" t="n">
        <v>325</v>
      </c>
      <c r="C8" s="124" t="n">
        <v>0.09</v>
      </c>
    </row>
    <row r="9" ht="15" customHeight="1" s="70">
      <c r="A9" s="86" t="inlineStr">
        <is>
          <t>All other functions combined</t>
        </is>
      </c>
      <c r="B9" s="121" t="n">
        <v>1650</v>
      </c>
      <c r="C9" s="122" t="n">
        <v>0.48</v>
      </c>
    </row>
    <row r="11" ht="45" customHeight="1" s="70">
      <c r="A11" s="90" t="inlineStr">
        <is>
          <t>Insight  |  McKinsey's $4.4T headline is a theoretical ceiling across 63 use cases, not realised value. Goldman Sachs' chief economist Jan Hatzius assesses 2025 AI-related GDP contribution at 'basically zero'. Treat this number as a TAM, not as a near-term realisation.</t>
        </is>
      </c>
    </row>
    <row r="12" ht="30" customHeight="1" s="70">
      <c r="A12" s="77" t="inlineStr">
        <is>
          <t>Source  |  McKinsey — Economic potential of generative AI  —  https://www.mckinsey.com/capabilities/tech-and-ai/our-insights/the-economic-potential-of-generative-ai-the-next-productivity-frontier</t>
        </is>
      </c>
    </row>
    <row r="13" ht="30" customHeight="1" s="70">
      <c r="A13" s="77" t="inlineStr">
        <is>
          <t>Source  |  McKinsey — $4.4T MGI press release  —  https://www.mckinsey.com/mgi/media-center/ai-could-increase-corporate-profits-by-4-trillion-a-year-according-to-new-research</t>
        </is>
      </c>
    </row>
    <row r="14" ht="30" customHeight="1" s="70">
      <c r="A14" s="77" t="inlineStr">
        <is>
          <t>Source  |  Tom's Hardware — Hatzius 'basically zero' GDP 2025  —  https://www.tomshardware.com/tech-industry/artificial-intelligence/ai-boosted-us-economy-by-basically-zero-in-2025-says-goldman-sachs-chief-economist-we-think-theres-been-a-lot-of-misreporting-of-the-impact-that-ai-investment-had-on-gdp-growth</t>
        </is>
      </c>
    </row>
  </sheetData>
  <mergeCells count="6">
    <mergeCell ref="A12:H12"/>
    <mergeCell ref="A2:H2"/>
    <mergeCell ref="A13:H13"/>
    <mergeCell ref="A11:H11"/>
    <mergeCell ref="A14:H14"/>
    <mergeCell ref="A1:H1"/>
  </mergeCells>
  <hyperlinks>
    <hyperlink xmlns:r="http://schemas.openxmlformats.org/officeDocument/2006/relationships" ref="A12" display="Source  |  McKinsey — Economic potential of generative AI  —  https://www.mckinsey.com/capabilities/tech-and-ai/our-insights/the-economic-potential-of-generative-ai-the-next-productivity-frontier" r:id="rId1"/>
    <hyperlink xmlns:r="http://schemas.openxmlformats.org/officeDocument/2006/relationships" ref="A13" display="Source  |  McKinsey — $4.4T MGI press release  —  https://www.mckinsey.com/mgi/media-center/ai-could-increase-corporate-profits-by-4-trillion-a-year-according-to-new-research" r:id="rId2"/>
    <hyperlink xmlns:r="http://schemas.openxmlformats.org/officeDocument/2006/relationships" ref="A14" display="Source  |  Tom's Hardware — Hatzius 'basically zero' GDP 2025  —  https://www.tomshardware.com/tech-industry/artificial-intelligence/ai-boosted-us-economy-by-basically-zero-in-2025-says-goldman-sachs-chief-economist-we-think-theres-been-a-lot-of-misreporting-of-the-impact-that-ai-investment-had-on-gdp-growth"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4"/>
</worksheet>
</file>

<file path=xl/worksheets/sheet13.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M03  |  Macro productivity forecasts span a 3x range — Goldman 1.5% vs Acemoglu 0.05% annual TFP gain</t>
        </is>
      </c>
    </row>
    <row r="2" ht="21.75" customHeight="1" s="70">
      <c r="A2" s="84" t="inlineStr">
        <is>
          <t>How much does AI add to annual labour productivity / TFP, and where is consensus?</t>
        </is>
      </c>
    </row>
    <row r="4" ht="34.5" customHeight="1" s="70">
      <c r="A4" s="79" t="inlineStr">
        <is>
          <t>Forecaster</t>
        </is>
      </c>
      <c r="B4" s="79" t="inlineStr">
        <is>
          <t>Horizon</t>
        </is>
      </c>
      <c r="C4" s="79" t="inlineStr">
        <is>
          <t>GDP / productivity claim</t>
        </is>
      </c>
      <c r="D4" s="79" t="inlineStr">
        <is>
          <t>Stance</t>
        </is>
      </c>
      <c r="E4" s="79" t="inlineStr">
        <is>
          <t>Year</t>
        </is>
      </c>
    </row>
    <row r="5" ht="34.5" customHeight="1" s="70">
      <c r="A5" s="86" t="inlineStr">
        <is>
          <t>Goldman Sachs (Briggs/Kodnani)</t>
        </is>
      </c>
      <c r="B5" s="87" t="inlineStr">
        <is>
          <t>10-year</t>
        </is>
      </c>
      <c r="C5" s="87" t="inlineStr">
        <is>
          <t>+7% global GDP, +1.5pp US productivity</t>
        </is>
      </c>
      <c r="D5" s="87" t="inlineStr">
        <is>
          <t>Bullish</t>
        </is>
      </c>
      <c r="E5" s="87" t="n">
        <v>2023</v>
      </c>
    </row>
    <row r="6" ht="34.5" customHeight="1" s="70">
      <c r="A6" s="88" t="inlineStr">
        <is>
          <t>McKinsey Global Institute</t>
        </is>
      </c>
      <c r="B6" s="89" t="inlineStr">
        <is>
          <t>to 2040</t>
        </is>
      </c>
      <c r="C6" s="89" t="inlineStr">
        <is>
          <t>+0.1–0.6% annual labour productivity</t>
        </is>
      </c>
      <c r="D6" s="89" t="inlineStr">
        <is>
          <t>Moderate</t>
        </is>
      </c>
      <c r="E6" s="89" t="n">
        <v>2023</v>
      </c>
    </row>
    <row r="7" ht="34.5" customHeight="1" s="70">
      <c r="A7" s="86" t="inlineStr">
        <is>
          <t>PwC AI Jobs Barometer</t>
        </is>
      </c>
      <c r="B7" s="87" t="inlineStr">
        <is>
          <t>2018–2024 realised</t>
        </is>
      </c>
      <c r="C7" s="87" t="inlineStr">
        <is>
          <t>Productivity ~4x in AI-exposed sectors</t>
        </is>
      </c>
      <c r="D7" s="87" t="inlineStr">
        <is>
          <t>Bullish (realised)</t>
        </is>
      </c>
      <c r="E7" s="87" t="n">
        <v>2025</v>
      </c>
    </row>
    <row r="8" ht="23.25" customHeight="1" s="70">
      <c r="A8" s="88" t="inlineStr">
        <is>
          <t>Acemoglu (MIT) — Simple Macroeconomics of AI</t>
        </is>
      </c>
      <c r="B8" s="89" t="inlineStr">
        <is>
          <t>10-year</t>
        </is>
      </c>
      <c r="C8" s="89" t="inlineStr">
        <is>
          <t>&lt;0.55% TFP total; ~0.05%/yr</t>
        </is>
      </c>
      <c r="D8" s="89" t="inlineStr">
        <is>
          <t>Bearish</t>
        </is>
      </c>
      <c r="E8" s="89" t="n">
        <v>2024</v>
      </c>
    </row>
    <row r="9" ht="34.5" customHeight="1" s="70">
      <c r="A9" s="86" t="inlineStr">
        <is>
          <t>Goldman Sachs — Hatzius (revised)</t>
        </is>
      </c>
      <c r="B9" s="87" t="inlineStr">
        <is>
          <t>2025 actual</t>
        </is>
      </c>
      <c r="C9" s="87" t="inlineStr">
        <is>
          <t>'Basically zero' US GDP contribution</t>
        </is>
      </c>
      <c r="D9" s="87" t="inlineStr">
        <is>
          <t>Bearish (revised)</t>
        </is>
      </c>
      <c r="E9" s="87" t="n">
        <v>2025</v>
      </c>
    </row>
    <row r="11" ht="15" customHeight="1" s="70">
      <c r="A11" s="85" t="inlineStr">
        <is>
          <t>Chart data — annual productivity uplift estimates (%)</t>
        </is>
      </c>
    </row>
    <row r="12" ht="23.25" customHeight="1" s="70">
      <c r="A12" s="79" t="inlineStr">
        <is>
          <t>Source</t>
        </is>
      </c>
      <c r="B12" s="79" t="inlineStr">
        <is>
          <t>Annual uplift (pp)</t>
        </is>
      </c>
    </row>
    <row r="13" ht="15" customHeight="1" s="70">
      <c r="A13" s="86" t="inlineStr">
        <is>
          <t>Goldman 2023 (Briggs/Kodnani)</t>
        </is>
      </c>
      <c r="B13" s="87" t="n">
        <v>1.5</v>
      </c>
    </row>
    <row r="14" ht="15" customHeight="1" s="70">
      <c r="A14" s="88" t="inlineStr">
        <is>
          <t>PwC realised (AI-exposed sectors)</t>
        </is>
      </c>
      <c r="B14" s="89" t="n">
        <v>4</v>
      </c>
    </row>
    <row r="15" ht="15" customHeight="1" s="70">
      <c r="A15" s="86" t="inlineStr">
        <is>
          <t>McKinsey MGI midpoint</t>
        </is>
      </c>
      <c r="B15" s="87" t="n">
        <v>0.35</v>
      </c>
    </row>
    <row r="16" ht="15" customHeight="1" s="70">
      <c r="A16" s="88" t="inlineStr">
        <is>
          <t>Acemoglu (MIT) annualised</t>
        </is>
      </c>
      <c r="B16" s="89" t="n">
        <v>0.05</v>
      </c>
    </row>
    <row r="17" ht="15" customHeight="1" s="70">
      <c r="A17" s="86" t="inlineStr">
        <is>
          <t>Goldman 2025 (Hatzius)</t>
        </is>
      </c>
      <c r="B17" s="87" t="n">
        <v>0</v>
      </c>
    </row>
    <row r="18" ht="45" customHeight="1" s="70">
      <c r="A18" s="90" t="inlineStr">
        <is>
          <t>Insight  |  The macro range is 0% to 4% — a factor of &gt;10x between bull and bear cases. PwC's 4x figure is for a narrow set of AI-exposed industries, not the whole economy. The defensible centre-of-gravity for full-economy productivity is sub-1% per year — closer to a 2x than a 10x revolution.</t>
        </is>
      </c>
    </row>
    <row r="19" ht="30" customHeight="1" s="70">
      <c r="A19" s="77" t="inlineStr">
        <is>
          <t>Source  |  Goldman Sachs — Generative AI could raise GDP 7%  —  https://www.goldmansachs.com/insights/articles/generative-ai-could-raise-global-gdp-by-7-percent</t>
        </is>
      </c>
    </row>
    <row r="20" ht="30" customHeight="1" s="70">
      <c r="A20" s="77" t="inlineStr">
        <is>
          <t>Source  |  Acemoglu — Simple Macroeconomics of AI (NBER w32487)  —  https://www.nber.org/papers/w32487</t>
        </is>
      </c>
    </row>
    <row r="21" ht="30" customHeight="1" s="70">
      <c r="A21" s="77" t="inlineStr">
        <is>
          <t>Source  |  PwC AI Jobs Barometer 2025  —  https://www.pwc.com/gx/en/services/ai/ai-jobs-barometer.html</t>
        </is>
      </c>
    </row>
    <row r="22" ht="30" customHeight="1" s="70">
      <c r="A22" s="77" t="inlineStr">
        <is>
          <t>Source  |  McKinsey — Economic potential of generative AI  —  https://www.mckinsey.com/capabilities/tech-and-ai/our-insights/the-economic-potential-of-generative-ai-the-next-productivity-frontier</t>
        </is>
      </c>
    </row>
  </sheetData>
  <mergeCells count="7">
    <mergeCell ref="A18:H18"/>
    <mergeCell ref="A21:H21"/>
    <mergeCell ref="A20:H20"/>
    <mergeCell ref="A2:H2"/>
    <mergeCell ref="A19:H19"/>
    <mergeCell ref="A1:H1"/>
    <mergeCell ref="A22:H22"/>
  </mergeCells>
  <hyperlinks>
    <hyperlink xmlns:r="http://schemas.openxmlformats.org/officeDocument/2006/relationships" ref="A19" display="Source  |  Goldman Sachs — Generative AI could raise GDP 7%  —  https://www.goldmansachs.com/insights/articles/generative-ai-could-raise-global-gdp-by-7-percent" r:id="rId1"/>
    <hyperlink xmlns:r="http://schemas.openxmlformats.org/officeDocument/2006/relationships" ref="A20" display="Source  |  Acemoglu — Simple Macroeconomics of AI (NBER w32487)  —  https://www.nber.org/papers/w32487" r:id="rId2"/>
    <hyperlink xmlns:r="http://schemas.openxmlformats.org/officeDocument/2006/relationships" ref="A21" display="Source  |  PwC AI Jobs Barometer 2025  —  https://www.pwc.com/gx/en/services/ai/ai-jobs-barometer.html" r:id="rId3"/>
    <hyperlink xmlns:r="http://schemas.openxmlformats.org/officeDocument/2006/relationships" ref="A22" display="Source  |  McKinsey — Economic potential of generative AI  —  https://www.mckinsey.com/capabilities/tech-and-ai/our-insights/the-economic-potential-of-generative-ai-the-next-productivity-frontier" r:id="rId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5"/>
</worksheet>
</file>

<file path=xl/worksheets/sheet14.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M04  |  95% of enterprise GenAI pilots return no measurable P&amp;L impact — MIT NANDA, 2025</t>
        </is>
      </c>
    </row>
    <row r="2" ht="21.75" customHeight="1" s="70">
      <c r="A2" s="84" t="inlineStr">
        <is>
          <t>What share of corporate AI initiatives actually translate into revenue or cost outcomes?</t>
        </is>
      </c>
    </row>
    <row r="4" ht="15" customHeight="1" s="70">
      <c r="A4" s="79" t="inlineStr">
        <is>
          <t>Cohort</t>
        </is>
      </c>
      <c r="B4" s="79" t="inlineStr">
        <is>
          <t>Share of total</t>
        </is>
      </c>
      <c r="C4" s="79" t="inlineStr">
        <is>
          <t>Outcome</t>
        </is>
      </c>
    </row>
    <row r="5" ht="34.5" customHeight="1" s="70">
      <c r="A5" s="86" t="inlineStr">
        <is>
          <t>Rapid revenue acceleration</t>
        </is>
      </c>
      <c r="B5" s="122" t="n">
        <v>0.05</v>
      </c>
      <c r="C5" s="87" t="inlineStr">
        <is>
          <t>Pilots that translate to measurable P&amp;L</t>
        </is>
      </c>
    </row>
    <row r="6" ht="34.5" customHeight="1" s="70">
      <c r="A6" s="88" t="inlineStr">
        <is>
          <t>Stalled / no P&amp;L impact</t>
        </is>
      </c>
      <c r="B6" s="124" t="n">
        <v>0.95</v>
      </c>
      <c r="C6" s="89" t="inlineStr">
        <is>
          <t>No measurable revenue or cost outcome</t>
        </is>
      </c>
    </row>
    <row r="9" ht="15" customHeight="1" s="70">
      <c r="A9" s="85" t="inlineStr">
        <is>
          <t>Top root causes of GenAI pilot failure</t>
        </is>
      </c>
    </row>
    <row r="10" ht="15" customHeight="1" s="70">
      <c r="A10" s="79" t="inlineStr">
        <is>
          <t>Root cause</t>
        </is>
      </c>
      <c r="B10" s="79" t="inlineStr">
        <is>
          <t>Mechanism</t>
        </is>
      </c>
    </row>
    <row r="11" ht="23.25" customHeight="1" s="70">
      <c r="A11" s="86" t="inlineStr">
        <is>
          <t>Misunderstanding what to solve</t>
        </is>
      </c>
      <c r="B11" s="87" t="inlineStr">
        <is>
          <t>AI applied to wrong problem</t>
        </is>
      </c>
    </row>
    <row r="12" ht="23.25" customHeight="1" s="70">
      <c r="A12" s="88" t="inlineStr">
        <is>
          <t>Lack of clean training/operational data</t>
        </is>
      </c>
      <c r="B12" s="89" t="inlineStr">
        <is>
          <t>Garbage in, garbage out</t>
        </is>
      </c>
    </row>
    <row r="13" ht="23.25" customHeight="1" s="70">
      <c r="A13" s="86" t="inlineStr">
        <is>
          <t>Tech-first vs problem-first</t>
        </is>
      </c>
      <c r="B13" s="87" t="inlineStr">
        <is>
          <t>Latest model not the bottleneck</t>
        </is>
      </c>
    </row>
    <row r="14" ht="23.25" customHeight="1" s="70">
      <c r="A14" s="88" t="inlineStr">
        <is>
          <t>Inadequate MLOps infrastructure</t>
        </is>
      </c>
      <c r="B14" s="89" t="inlineStr">
        <is>
          <t>Deployment &gt; model quality</t>
        </is>
      </c>
    </row>
    <row r="15" ht="23.25" customHeight="1" s="70">
      <c r="A15" s="86" t="inlineStr">
        <is>
          <t>Tasks too hard for current AI</t>
        </is>
      </c>
      <c r="B15" s="87" t="inlineStr">
        <is>
          <t>Jagged frontier mis-fit</t>
        </is>
      </c>
    </row>
    <row r="16" ht="45.75" customHeight="1" s="70">
      <c r="A16" s="88" t="inlineStr">
        <is>
          <t>Sales/marketing budget skew</t>
        </is>
      </c>
      <c r="B16" s="89" t="inlineStr">
        <is>
          <t>&gt;50% of budget in front office; ROI in back office</t>
        </is>
      </c>
    </row>
    <row r="17" ht="45.75" customHeight="1" s="70">
      <c r="A17" s="86" t="inlineStr">
        <is>
          <t>Build vs buy</t>
        </is>
      </c>
      <c r="B17" s="87" t="inlineStr">
        <is>
          <t>Internal builds succeed ~1/3 as often as vendor partnerships</t>
        </is>
      </c>
    </row>
    <row r="19" ht="45" customHeight="1" s="70">
      <c r="A19" s="90" t="inlineStr">
        <is>
          <t>Insight  |  MIT NANDA found just 5% of GenAI pilots produce revenue acceleration despite $30–40B in enterprise spend. RAND (2024) earlier reported &gt;80% failure rate — twice that of non-AI IT projects. Implication for value-based selling: ROI claims must be anchored in narrow, defensible use cases — not whole-org transformation promises.</t>
        </is>
      </c>
    </row>
    <row r="20" ht="30" customHeight="1" s="70">
      <c r="A20" s="77" t="inlineStr">
        <is>
          <t>Source  |  MIT NANDA — State of AI in Business 2025 (PDF)  —  https://mlq.ai/media/quarterly_decks/v0.1_State_of_AI_in_Business_2025_Report.pdf</t>
        </is>
      </c>
    </row>
    <row r="21" ht="30" customHeight="1" s="70">
      <c r="A21" s="77" t="inlineStr">
        <is>
          <t>Source  |  Fortune — MIT report 95% GenAI pilots failing  —  https://fortune.com/2025/08/18/mit-report-95-percent-generative-ai-pilots-at-companies-failing-cfo/</t>
        </is>
      </c>
    </row>
    <row r="22" ht="30" customHeight="1" s="70">
      <c r="A22" s="77" t="inlineStr">
        <is>
          <t>Source  |  RAND — Why AI Projects Fail (RRA2680-1)  —  https://www.rand.org/pubs/research_reports/RRA2680-1.html</t>
        </is>
      </c>
    </row>
  </sheetData>
  <mergeCells count="6">
    <mergeCell ref="A21:H21"/>
    <mergeCell ref="A20:H20"/>
    <mergeCell ref="A2:H2"/>
    <mergeCell ref="A19:H19"/>
    <mergeCell ref="A1:H1"/>
    <mergeCell ref="A22:H22"/>
  </mergeCells>
  <hyperlinks>
    <hyperlink xmlns:r="http://schemas.openxmlformats.org/officeDocument/2006/relationships" ref="A20" display="Source  |  MIT NANDA — State of AI in Business 2025 (PDF)  —  https://mlq.ai/media/quarterly_decks/v0.1_State_of_AI_in_Business_2025_Report.pdf" r:id="rId1"/>
    <hyperlink xmlns:r="http://schemas.openxmlformats.org/officeDocument/2006/relationships" ref="A21" display="Source  |  Fortune — MIT report 95% GenAI pilots failing  —  https://fortune.com/2025/08/18/mit-report-95-percent-generative-ai-pilots-at-companies-failing-cfo/" r:id="rId2"/>
    <hyperlink xmlns:r="http://schemas.openxmlformats.org/officeDocument/2006/relationships" ref="A22" display="Source  |  RAND — Why AI Projects Fail (RRA2680-1)  —  https://www.rand.org/pubs/research_reports/RRA2680-1.html"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4"/>
</worksheet>
</file>

<file path=xl/worksheets/sheet15.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M05  |  Function-level wins are real but enterprise-wide EBIT impact is &lt;5% for most adopters — McKinsey State of AI 2025</t>
        </is>
      </c>
    </row>
    <row r="2" ht="21.75" customHeight="1" s="70">
      <c r="A2" s="84" t="inlineStr">
        <is>
          <t>How much of the function-level uplift actually shows up at the EBIT line?</t>
        </is>
      </c>
    </row>
    <row r="4" ht="23.25" customHeight="1" s="70">
      <c r="A4" s="79" t="inlineStr">
        <is>
          <t>Function</t>
        </is>
      </c>
      <c r="B4" s="79" t="inlineStr">
        <is>
          <t>% reporting cost savings</t>
        </is>
      </c>
      <c r="C4" s="79" t="inlineStr">
        <is>
          <t>% reporting revenue uplift</t>
        </is>
      </c>
      <c r="D4" s="79" t="inlineStr">
        <is>
          <t>Typical magnitude</t>
        </is>
      </c>
    </row>
    <row r="5" ht="23.25" customHeight="1" s="70">
      <c r="A5" s="86" t="inlineStr">
        <is>
          <t>Service operations</t>
        </is>
      </c>
      <c r="B5" s="87" t="inlineStr">
        <is>
          <t>49%</t>
        </is>
      </c>
      <c r="C5" s="87" t="inlineStr">
        <is>
          <t>57%</t>
        </is>
      </c>
      <c r="D5" s="87" t="inlineStr">
        <is>
          <t>&lt;10% cost; &lt;5% revenue</t>
        </is>
      </c>
    </row>
    <row r="6" ht="23.25" customHeight="1" s="70">
      <c r="A6" s="88" t="inlineStr">
        <is>
          <t>Supply chain</t>
        </is>
      </c>
      <c r="B6" s="89" t="inlineStr">
        <is>
          <t>43%</t>
        </is>
      </c>
      <c r="C6" s="89" t="inlineStr">
        <is>
          <t>63%</t>
        </is>
      </c>
      <c r="D6" s="89" t="inlineStr">
        <is>
          <t>&lt;10% cost; &lt;5% revenue</t>
        </is>
      </c>
    </row>
    <row r="7" ht="15" customHeight="1" s="70">
      <c r="A7" s="86" t="inlineStr">
        <is>
          <t>Software engineering</t>
        </is>
      </c>
      <c r="B7" s="87" t="inlineStr">
        <is>
          <t>41%</t>
        </is>
      </c>
      <c r="C7" s="87" t="inlineStr">
        <is>
          <t>—</t>
        </is>
      </c>
      <c r="D7" s="87" t="inlineStr">
        <is>
          <t>&lt;10% cost</t>
        </is>
      </c>
    </row>
    <row r="8" ht="15" customHeight="1" s="70">
      <c r="A8" s="88" t="inlineStr">
        <is>
          <t>Marketing &amp; sales</t>
        </is>
      </c>
      <c r="B8" s="89" t="inlineStr">
        <is>
          <t>—</t>
        </is>
      </c>
      <c r="C8" s="89" t="inlineStr">
        <is>
          <t>71%</t>
        </is>
      </c>
      <c r="D8" s="89" t="inlineStr">
        <is>
          <t>&lt;5% revenue</t>
        </is>
      </c>
    </row>
    <row r="9" ht="23.25" customHeight="1" s="70">
      <c r="A9" s="86" t="inlineStr">
        <is>
          <t>Strategy &amp; corp finance</t>
        </is>
      </c>
      <c r="B9" s="87" t="inlineStr">
        <is>
          <t>—</t>
        </is>
      </c>
      <c r="C9" s="87" t="inlineStr">
        <is>
          <t>high</t>
        </is>
      </c>
      <c r="D9" s="87" t="inlineStr">
        <is>
          <t>&gt;10% revenue (selected)</t>
        </is>
      </c>
    </row>
    <row r="10" ht="23.25" customHeight="1" s="70">
      <c r="A10" s="88" t="inlineStr">
        <is>
          <t>Product development</t>
        </is>
      </c>
      <c r="B10" s="89" t="inlineStr">
        <is>
          <t>—</t>
        </is>
      </c>
      <c r="C10" s="89" t="inlineStr">
        <is>
          <t>high</t>
        </is>
      </c>
      <c r="D10" s="89" t="inlineStr">
        <is>
          <t>&gt;10% revenue (selected)</t>
        </is>
      </c>
    </row>
    <row r="12" ht="15" customHeight="1" s="70">
      <c r="A12" s="85" t="inlineStr">
        <is>
          <t>Chart data — % of organisations reporting cost savings</t>
        </is>
      </c>
    </row>
    <row r="13" ht="23.25" customHeight="1" s="70">
      <c r="A13" s="79" t="inlineStr">
        <is>
          <t>Function</t>
        </is>
      </c>
      <c r="B13" s="79" t="inlineStr">
        <is>
          <t>% reporting cost savings</t>
        </is>
      </c>
    </row>
    <row r="14" ht="15" customHeight="1" s="70">
      <c r="A14" s="86" t="inlineStr">
        <is>
          <t>Service operations</t>
        </is>
      </c>
      <c r="B14" s="87" t="n">
        <v>49</v>
      </c>
    </row>
    <row r="15" ht="15" customHeight="1" s="70">
      <c r="A15" s="88" t="inlineStr">
        <is>
          <t>Supply chain</t>
        </is>
      </c>
      <c r="B15" s="89" t="n">
        <v>43</v>
      </c>
    </row>
    <row r="16" ht="15" customHeight="1" s="70">
      <c r="A16" s="86" t="inlineStr">
        <is>
          <t>Software engineering</t>
        </is>
      </c>
      <c r="B16" s="87" t="n">
        <v>41</v>
      </c>
    </row>
    <row r="17" ht="15" customHeight="1" s="70">
      <c r="A17" s="88" t="inlineStr">
        <is>
          <t>Marketing &amp; sales</t>
        </is>
      </c>
      <c r="B17" s="89" t="n">
        <v>30</v>
      </c>
    </row>
    <row r="18" ht="15" customHeight="1" s="70">
      <c r="A18" s="86" t="inlineStr">
        <is>
          <t>HR</t>
        </is>
      </c>
      <c r="B18" s="87" t="n">
        <v>27</v>
      </c>
    </row>
    <row r="19" ht="15" customHeight="1" s="70">
      <c r="A19" s="88" t="inlineStr">
        <is>
          <t>Strategy &amp; finance</t>
        </is>
      </c>
      <c r="B19" s="89" t="n">
        <v>28</v>
      </c>
    </row>
    <row r="20" ht="45" customHeight="1" s="70">
      <c r="A20" s="90" t="inlineStr">
        <is>
          <t>Insight  |  Only 39% of McKinsey 2025 respondents attribute ANY EBIT impact to AI — and most of those say &lt;5% of EBIT. Function-level wins are real (15–20% cost in software/manufacturing/IT) but aggregation losses, integration overhead, and AI 'tax' (governance, security, retraining) erode enterprise impact.</t>
        </is>
      </c>
    </row>
    <row r="21" ht="30" customHeight="1" s="70">
      <c r="A21" s="77" t="inlineStr">
        <is>
          <t>Source  |  McKinsey — State of AI 2025 (PDF)  —  https://www.mckinsey.com/~/media/mckinsey/business%20functions/quantumblack/our%20insights/the%20state%20of%20ai/november%202025/the-state-of-ai-2025-agents-innovation_cmyk-v1.pdf</t>
        </is>
      </c>
    </row>
    <row r="22" ht="30" customHeight="1" s="70">
      <c r="A22" s="77" t="inlineStr">
        <is>
          <t>Source  |  McKinsey — State of AI 2025 (web)  —  https://www.mckinsey.com/capabilities/quantumblack/our-insights/the-state-of-ai</t>
        </is>
      </c>
    </row>
  </sheetData>
  <mergeCells count="5">
    <mergeCell ref="A21:H21"/>
    <mergeCell ref="A20:H20"/>
    <mergeCell ref="A2:H2"/>
    <mergeCell ref="A1:H1"/>
    <mergeCell ref="A22:H22"/>
  </mergeCells>
  <hyperlinks>
    <hyperlink xmlns:r="http://schemas.openxmlformats.org/officeDocument/2006/relationships" ref="A21" display="Source  |  McKinsey — State of AI 2025 (PDF)  —  https://www.mckinsey.com/~/media/mckinsey/business%20functions/quantumblack/our%20insights/the%20state%20of%20ai/november%202025/the-state-of-ai-2025-agents-innovation_cmyk-v1.pdf" r:id="rId1"/>
    <hyperlink xmlns:r="http://schemas.openxmlformats.org/officeDocument/2006/relationships" ref="A22" display="Source  |  McKinsey — State of AI 2025 (web)  —  https://www.mckinsey.com/capabilities/quantumblack/our-insights/the-state-of-ai"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xl/worksheets/sheet16.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M06  |  Adoption has gone vertical — 78% of organisations use AI in 2024, but only ~17% of US firms use it in production</t>
        </is>
      </c>
    </row>
    <row r="2" ht="21.75" customHeight="1" s="70">
      <c r="A2" s="84" t="inlineStr">
        <is>
          <t>How widespread is AI use, and where is the gap between intent and production deployment?</t>
        </is>
      </c>
    </row>
    <row r="4" ht="15" customHeight="1" s="70">
      <c r="A4" s="79" t="inlineStr">
        <is>
          <t>Source</t>
        </is>
      </c>
      <c r="B4" s="79" t="inlineStr">
        <is>
          <t>Population</t>
        </is>
      </c>
      <c r="C4" s="79" t="inlineStr">
        <is>
          <t>Adoption rate</t>
        </is>
      </c>
      <c r="D4" s="79" t="inlineStr">
        <is>
          <t>Date</t>
        </is>
      </c>
    </row>
    <row r="5" ht="23.25" customHeight="1" s="70">
      <c r="A5" s="86" t="inlineStr">
        <is>
          <t>McKinsey State of AI 2024</t>
        </is>
      </c>
      <c r="B5" s="87" t="inlineStr">
        <is>
          <t>Global org survey</t>
        </is>
      </c>
      <c r="C5" s="87" t="inlineStr">
        <is>
          <t>78% (vs 55% in 2023)</t>
        </is>
      </c>
      <c r="D5" s="87" t="inlineStr">
        <is>
          <t>2024</t>
        </is>
      </c>
    </row>
    <row r="6" ht="23.25" customHeight="1" s="70">
      <c r="A6" s="88" t="inlineStr">
        <is>
          <t>Stanford AI Index 2025</t>
        </is>
      </c>
      <c r="B6" s="89" t="inlineStr">
        <is>
          <t>Enterprises (global)</t>
        </is>
      </c>
      <c r="C6" s="89" t="inlineStr">
        <is>
          <t>78%</t>
        </is>
      </c>
      <c r="D6" s="89" t="inlineStr">
        <is>
          <t>2024</t>
        </is>
      </c>
    </row>
    <row r="7" ht="15" customHeight="1" s="70">
      <c r="A7" s="86" t="inlineStr">
        <is>
          <t>US Census BTOS (any business function)</t>
        </is>
      </c>
      <c r="B7" s="87" t="inlineStr">
        <is>
          <t>All US firms</t>
        </is>
      </c>
      <c r="C7" s="87" t="inlineStr">
        <is>
          <t>17.3%</t>
        </is>
      </c>
      <c r="D7" s="87" t="inlineStr">
        <is>
          <t>Nov 2025</t>
        </is>
      </c>
    </row>
    <row r="8" ht="15" customHeight="1" s="70">
      <c r="A8" s="88" t="inlineStr">
        <is>
          <t>US Census BTOS (goods &amp; services production)</t>
        </is>
      </c>
      <c r="B8" s="89" t="inlineStr">
        <is>
          <t>All US firms</t>
        </is>
      </c>
      <c r="C8" s="89" t="inlineStr">
        <is>
          <t>10.0%</t>
        </is>
      </c>
      <c r="D8" s="89" t="inlineStr">
        <is>
          <t>Sep 2025</t>
        </is>
      </c>
    </row>
    <row r="9" ht="15" customHeight="1" s="70">
      <c r="A9" s="86" t="inlineStr">
        <is>
          <t>BCG AI at Work 2025 — regular users</t>
        </is>
      </c>
      <c r="B9" s="87" t="inlineStr">
        <is>
          <t>10,600 workers</t>
        </is>
      </c>
      <c r="C9" s="87" t="inlineStr">
        <is>
          <t>72%</t>
        </is>
      </c>
      <c r="D9" s="87" t="inlineStr">
        <is>
          <t>2025</t>
        </is>
      </c>
    </row>
    <row r="10" ht="34.5" customHeight="1" s="70">
      <c r="A10" s="88" t="inlineStr">
        <is>
          <t>Microsoft Work Trend Index 2024</t>
        </is>
      </c>
      <c r="B10" s="89" t="inlineStr">
        <is>
          <t>31,000 knowledge workers</t>
        </is>
      </c>
      <c r="C10" s="89" t="inlineStr">
        <is>
          <t>75%</t>
        </is>
      </c>
      <c r="D10" s="89" t="inlineStr">
        <is>
          <t>2024</t>
        </is>
      </c>
    </row>
    <row r="11" ht="15" customHeight="1" s="70">
      <c r="A11" s="86" t="inlineStr">
        <is>
          <t>US Census BTOS — planned adoption</t>
        </is>
      </c>
      <c r="B11" s="87" t="inlineStr">
        <is>
          <t>All US firms</t>
        </is>
      </c>
      <c r="C11" s="87" t="inlineStr">
        <is>
          <t>~21%</t>
        </is>
      </c>
      <c r="D11" s="87" t="inlineStr">
        <is>
          <t>Year-end 2025</t>
        </is>
      </c>
    </row>
    <row r="13" ht="15" customHeight="1" s="70">
      <c r="A13" s="85" t="inlineStr">
        <is>
          <t>Chart data — AI adoption rate by population (%)</t>
        </is>
      </c>
    </row>
    <row r="14" ht="23.25" customHeight="1" s="70">
      <c r="A14" s="79" t="inlineStr">
        <is>
          <t>Population</t>
        </is>
      </c>
      <c r="B14" s="79" t="inlineStr">
        <is>
          <t>Adoption rate %</t>
        </is>
      </c>
    </row>
    <row r="15" ht="15" customHeight="1" s="70">
      <c r="A15" s="86" t="inlineStr">
        <is>
          <t>Knowledge workers (MS WTI)</t>
        </is>
      </c>
      <c r="B15" s="87" t="n">
        <v>75</v>
      </c>
    </row>
    <row r="16" ht="15" customHeight="1" s="70">
      <c r="A16" s="88" t="inlineStr">
        <is>
          <t>Org-level (McKinsey/Stanford)</t>
        </is>
      </c>
      <c r="B16" s="89" t="n">
        <v>78</v>
      </c>
    </row>
    <row r="17" ht="15" customHeight="1" s="70">
      <c r="A17" s="86" t="inlineStr">
        <is>
          <t>Workers (BCG AI@Work)</t>
        </is>
      </c>
      <c r="B17" s="87" t="n">
        <v>72</v>
      </c>
    </row>
    <row r="18" ht="15" customHeight="1" s="70">
      <c r="A18" s="88" t="inlineStr">
        <is>
          <t>US firms (any function)</t>
        </is>
      </c>
      <c r="B18" s="89" t="n">
        <v>17.3</v>
      </c>
    </row>
    <row r="19" ht="15" customHeight="1" s="70">
      <c r="A19" s="86" t="inlineStr">
        <is>
          <t>US firms (production)</t>
        </is>
      </c>
      <c r="B19" s="87" t="n">
        <v>10</v>
      </c>
    </row>
    <row r="20" ht="45" customHeight="1" s="70">
      <c r="A20" s="90" t="inlineStr">
        <is>
          <t>Insight  |  Worker-level adoption (~75%) and firm-level production deployment (~17%) differ by ~4x. Most AI usage is individual / shadow IT, not enterprise-grade. This gap is where MIT NANDA's '95% pilots fail' lives — and where Salesforce-style headcount bets break.</t>
        </is>
      </c>
    </row>
    <row r="21" ht="30" customHeight="1" s="70">
      <c r="A21" s="77" t="inlineStr">
        <is>
          <t>Source  |  McKinsey — State of AI 2024  —  https://www.mckinsey.com/capabilities/quantumblack/our-insights/the-state-of-ai-2024</t>
        </is>
      </c>
    </row>
    <row r="22" ht="30" customHeight="1" s="70">
      <c r="A22" s="77" t="inlineStr">
        <is>
          <t>Source  |  Stanford AI Index 2025  —  https://hai.stanford.edu/ai-index/2025-ai-index-report</t>
        </is>
      </c>
    </row>
    <row r="23" ht="30" customHeight="1" s="70">
      <c r="A23" s="77" t="inlineStr">
        <is>
          <t>Source  |  US Census BTOS — AI uptake (Fed note)  —  https://www.federalreserve.gov/econres/notes/feds-notes/monitoring-ai-adoption-in-the-u-s-economy-20260403.html</t>
        </is>
      </c>
    </row>
    <row r="24" ht="30" customHeight="1" s="70">
      <c r="A24" s="77" t="inlineStr">
        <is>
          <t>Source  |  BCG AI at Work 2025  —  https://www.bcg.com/publications/2025/ai-at-work-momentum-builds-but-gaps-remain</t>
        </is>
      </c>
    </row>
    <row r="25" ht="30" customHeight="1" s="70">
      <c r="A25" s="77" t="inlineStr">
        <is>
          <t>Source  |  Microsoft Work Trend Index 2024  —  https://www.microsoft.com/en-us/worklab/work-trend-index/ai-at-work-is-here-now-comes-the-hard-part</t>
        </is>
      </c>
    </row>
  </sheetData>
  <mergeCells count="8">
    <mergeCell ref="A21:H21"/>
    <mergeCell ref="A25:H25"/>
    <mergeCell ref="A20:H20"/>
    <mergeCell ref="A24:H24"/>
    <mergeCell ref="A2:H2"/>
    <mergeCell ref="A1:H1"/>
    <mergeCell ref="A23:H23"/>
    <mergeCell ref="A22:H22"/>
  </mergeCells>
  <hyperlinks>
    <hyperlink xmlns:r="http://schemas.openxmlformats.org/officeDocument/2006/relationships" ref="A21" display="Source  |  McKinsey — State of AI 2024  —  https://www.mckinsey.com/capabilities/quantumblack/our-insights/the-state-of-ai-2024" r:id="rId1"/>
    <hyperlink xmlns:r="http://schemas.openxmlformats.org/officeDocument/2006/relationships" ref="A22" display="Source  |  Stanford AI Index 2025  —  https://hai.stanford.edu/ai-index/2025-ai-index-report" r:id="rId2"/>
    <hyperlink xmlns:r="http://schemas.openxmlformats.org/officeDocument/2006/relationships" ref="A23" display="Source  |  US Census BTOS — AI uptake (Fed note)  —  https://www.federalreserve.gov/econres/notes/feds-notes/monitoring-ai-adoption-in-the-u-s-economy-20260403.html" r:id="rId3"/>
    <hyperlink xmlns:r="http://schemas.openxmlformats.org/officeDocument/2006/relationships" ref="A24" display="Source  |  BCG AI at Work 2025  —  https://www.bcg.com/publications/2025/ai-at-work-momentum-builds-but-gaps-remain" r:id="rId4"/>
    <hyperlink xmlns:r="http://schemas.openxmlformats.org/officeDocument/2006/relationships" ref="A25" display="Source  |  Microsoft Work Trend Index 2024  —  https://www.microsoft.com/en-us/worklab/work-trend-index/ai-at-work-is-here-now-comes-the-hard-part" r:id="rId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6"/>
</worksheet>
</file>

<file path=xl/worksheets/sheet17.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M07  |  Executives expect 40pp more task automation in the next 2 years, freeing 39% of employee time — Capgemini via Statista, 2025</t>
        </is>
      </c>
    </row>
    <row r="2" ht="21.75" customHeight="1" s="70">
      <c r="A2" s="84" t="inlineStr">
        <is>
          <t>What share of tasks are senior executives reporting and projecting will be automated by AI?</t>
        </is>
      </c>
    </row>
    <row r="4" ht="15" customHeight="1" s="70">
      <c r="A4" s="79" t="inlineStr">
        <is>
          <t>Metric</t>
        </is>
      </c>
      <c r="B4" s="79" t="inlineStr">
        <is>
          <t>Value (%)</t>
        </is>
      </c>
      <c r="C4" s="79" t="inlineStr">
        <is>
          <t>Period</t>
        </is>
      </c>
      <c r="D4" s="79" t="inlineStr">
        <is>
          <t>Population</t>
        </is>
      </c>
    </row>
    <row r="5" ht="23.25" customHeight="1" s="70">
      <c r="A5" s="86" t="inlineStr">
        <is>
          <t>Tasks automated by AI / Gen AI / AI agents — last 2 years</t>
        </is>
      </c>
      <c r="B5" s="87" t="n">
        <v>30</v>
      </c>
      <c r="C5" s="87" t="inlineStr">
        <is>
          <t>2023–2025</t>
        </is>
      </c>
      <c r="D5" s="87" t="inlineStr">
        <is>
          <t>Senior execs</t>
        </is>
      </c>
    </row>
    <row r="6" ht="23.25" customHeight="1" s="70">
      <c r="A6" s="88" t="inlineStr">
        <is>
          <t>Tasks expected to be automated — next 2 years (additional)</t>
        </is>
      </c>
      <c r="B6" s="89" t="n">
        <v>40</v>
      </c>
      <c r="C6" s="89" t="inlineStr">
        <is>
          <t>2025–2027</t>
        </is>
      </c>
      <c r="D6" s="89" t="inlineStr">
        <is>
          <t>Senior execs</t>
        </is>
      </c>
    </row>
    <row r="7" ht="15" customHeight="1" s="70">
      <c r="A7" s="86" t="inlineStr">
        <is>
          <t>Expected employee time freed up — next 2 years</t>
        </is>
      </c>
      <c r="B7" s="87" t="n">
        <v>39</v>
      </c>
      <c r="C7" s="87" t="inlineStr">
        <is>
          <t>2025–2027</t>
        </is>
      </c>
      <c r="D7" s="87" t="inlineStr">
        <is>
          <t>Senior execs</t>
        </is>
      </c>
    </row>
    <row r="9" ht="15" customHeight="1" s="70">
      <c r="A9" s="85" t="inlineStr">
        <is>
          <t>Chart data — Capgemini executive expectation series</t>
        </is>
      </c>
    </row>
    <row r="10" ht="15" customHeight="1" s="70">
      <c r="A10" s="79" t="inlineStr">
        <is>
          <t>Metric</t>
        </is>
      </c>
      <c r="B10" s="79" t="inlineStr">
        <is>
          <t>%</t>
        </is>
      </c>
    </row>
    <row r="11" ht="15" customHeight="1" s="70">
      <c r="A11" s="86" t="inlineStr">
        <is>
          <t>Tasks automated — last 2 years</t>
        </is>
      </c>
      <c r="B11" s="87" t="n">
        <v>30</v>
      </c>
    </row>
    <row r="12" ht="15" customHeight="1" s="70">
      <c r="A12" s="86" t="inlineStr">
        <is>
          <t>Tasks to be automated — next 2 years</t>
        </is>
      </c>
      <c r="B12" s="87" t="n">
        <v>40</v>
      </c>
    </row>
    <row r="13" ht="15" customHeight="1" s="70">
      <c r="A13" s="86" t="inlineStr">
        <is>
          <t>Employee time freed up — next 2 years</t>
        </is>
      </c>
      <c r="B13" s="87" t="n">
        <v>39</v>
      </c>
    </row>
    <row r="15" ht="79.5" customHeight="1" s="70">
      <c r="A15" s="90" t="inlineStr">
        <is>
          <t>Insight  |  Capgemini's 30% achieved + 40% additional (next 2 years) sums to a senior-executive expectation of ~70% task automation by 2027. This is a SELF-REPORTED EXECUTIVE PROJECTION — orders of magnitude higher than the RCT-measured 14–40% uplift (M01, S01–S12). The gap between expectation and realised value is the 'GenAI Divide' MIT NANDA quantifies at 95%. Use this number to CALIBRATE buyer expectations during sales conversations — not as a value-pricing anchor.</t>
        </is>
      </c>
    </row>
    <row r="16" ht="30" customHeight="1" s="70">
      <c r="A16" s="92" t="inlineStr">
        <is>
          <t>Source  |  Capgemini Research Institute — AI in action (June 2025), page 63. Survey n=1,503 senior executives, Feb–Mar 2025, worldwide.</t>
        </is>
      </c>
    </row>
    <row r="17" ht="21.75" customHeight="1" s="70">
      <c r="A17" s="77" t="inlineStr">
        <is>
          <t>Source  |  Statista chart ID 1619156 — https://www.statista.com/statistics/1619156/</t>
        </is>
      </c>
    </row>
    <row r="18" ht="21.75" customHeight="1" s="70">
      <c r="A18" s="77" t="inlineStr">
        <is>
          <t>Source  |  Capgemini AI in action report — https://www.capgemini.com/insights/research-library/ai-in-action/</t>
        </is>
      </c>
    </row>
  </sheetData>
  <mergeCells count="6">
    <mergeCell ref="A18:H18"/>
    <mergeCell ref="A15:H15"/>
    <mergeCell ref="A2:H2"/>
    <mergeCell ref="A16:H16"/>
    <mergeCell ref="A1:H1"/>
    <mergeCell ref="A17:H17"/>
  </mergeCells>
  <hyperlinks>
    <hyperlink xmlns:r="http://schemas.openxmlformats.org/officeDocument/2006/relationships" ref="A17" display="Source  |  Statista chart ID 1619156 — https://www.statista.com/statistics/1619156/" r:id="rId1"/>
    <hyperlink xmlns:r="http://schemas.openxmlformats.org/officeDocument/2006/relationships" ref="A18" display="Source  |  Capgemini AI in action report — https://www.capgemini.com/insights/research-library/ai-in-action/"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xl/worksheets/sheet18.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6" customWidth="1" style="70" min="1" max="1"/>
    <col width="14" customWidth="1" style="70" min="2" max="2"/>
    <col width="14" customWidth="1" style="70" min="3" max="3"/>
    <col width="14" customWidth="1" style="70" min="4" max="4"/>
    <col width="14" customWidth="1" style="70" min="5" max="5"/>
    <col width="14" customWidth="1" style="70" min="6" max="6"/>
    <col width="14" customWidth="1" style="70" min="7" max="7"/>
    <col width="14" customWidth="1" style="70" min="8" max="8"/>
    <col width="14" customWidth="1" style="70" min="9" max="9"/>
    <col width="14" customWidth="1" style="70" min="10" max="10"/>
  </cols>
  <sheetData>
    <row r="1" ht="32" customHeight="1" s="70">
      <c r="A1" s="125" t="inlineStr">
        <is>
          <t>CX01  |  The math doesn't add up — $725B Big Tech CapEx in 2026 vs 1.5–2.9% annual productivity uplift</t>
        </is>
      </c>
    </row>
    <row r="2" ht="22" customHeight="1" s="70">
      <c r="A2" s="126" t="inlineStr">
        <is>
          <t>Compare AI infrastructure investment to the productivity gain it is supposed to fund.</t>
        </is>
      </c>
    </row>
    <row r="4">
      <c r="A4" s="127" t="inlineStr">
        <is>
          <t>Big Tech AI CapEx — actual + projected</t>
        </is>
      </c>
    </row>
    <row r="5">
      <c r="A5" s="128" t="inlineStr">
        <is>
          <t>Year</t>
        </is>
      </c>
      <c r="B5" s="128" t="inlineStr">
        <is>
          <t>Big 4 / 5 hyperscaler CapEx ($B)</t>
        </is>
      </c>
      <c r="C5" s="128" t="inlineStr">
        <is>
          <t>YoY growth</t>
        </is>
      </c>
      <c r="D5" s="128" t="inlineStr">
        <is>
          <t>Source</t>
        </is>
      </c>
    </row>
    <row r="6">
      <c r="A6" s="129" t="inlineStr">
        <is>
          <t>2022</t>
        </is>
      </c>
      <c r="B6" s="130" t="n">
        <v>162</v>
      </c>
      <c r="C6" s="130" t="inlineStr">
        <is>
          <t>—</t>
        </is>
      </c>
      <c r="D6" s="130" t="inlineStr">
        <is>
          <t>Visual Capitalist / 10K filings</t>
        </is>
      </c>
    </row>
    <row r="7">
      <c r="A7" s="131" t="inlineStr">
        <is>
          <t>2023</t>
        </is>
      </c>
      <c r="B7" s="132" t="n">
        <v>175</v>
      </c>
      <c r="C7" s="132" t="inlineStr">
        <is>
          <t>+8%</t>
        </is>
      </c>
      <c r="D7" s="132" t="inlineStr">
        <is>
          <t>Visual Capitalist / 10K filings</t>
        </is>
      </c>
    </row>
    <row r="8">
      <c r="A8" s="129" t="inlineStr">
        <is>
          <t>2024</t>
        </is>
      </c>
      <c r="B8" s="130" t="n">
        <v>230</v>
      </c>
      <c r="C8" s="130" t="inlineStr">
        <is>
          <t>+31%</t>
        </is>
      </c>
      <c r="D8" s="130" t="inlineStr">
        <is>
          <t>Combined Big 4 CapEx</t>
        </is>
      </c>
    </row>
    <row r="9">
      <c r="A9" s="131" t="inlineStr">
        <is>
          <t>2025 (actual)</t>
        </is>
      </c>
      <c r="B9" s="132" t="n">
        <v>448</v>
      </c>
      <c r="C9" s="132" t="inlineStr">
        <is>
          <t>+95%</t>
        </is>
      </c>
      <c r="D9" s="132" t="inlineStr">
        <is>
          <t>Big 5 incl. Oracle</t>
        </is>
      </c>
    </row>
    <row r="10">
      <c r="A10" s="129" t="inlineStr">
        <is>
          <t>2026 (projected)</t>
        </is>
      </c>
      <c r="B10" s="130" t="n">
        <v>725</v>
      </c>
      <c r="C10" s="130" t="inlineStr">
        <is>
          <t>+62%</t>
        </is>
      </c>
      <c r="D10" s="130" t="inlineStr">
        <is>
          <t>Statista / Big Tech Q4 calls</t>
        </is>
      </c>
    </row>
    <row r="11">
      <c r="A11" s="131" t="inlineStr">
        <is>
          <t>2027 (projected)</t>
        </is>
      </c>
      <c r="B11" s="132" t="n">
        <v>1000</v>
      </c>
      <c r="C11" s="132" t="inlineStr">
        <is>
          <t>+38%</t>
        </is>
      </c>
      <c r="D11" s="132" t="inlineStr">
        <is>
          <t>Evercore / BoA estimates</t>
        </is>
      </c>
    </row>
    <row r="12">
      <c r="A12" s="129" t="inlineStr">
        <is>
          <t>Cumulative 2026–2031 (Goldman)</t>
        </is>
      </c>
      <c r="B12" s="130" t="n">
        <v>7600</v>
      </c>
      <c r="C12" s="130" t="inlineStr">
        <is>
          <t>—</t>
        </is>
      </c>
      <c r="D12" s="130" t="inlineStr">
        <is>
          <t>Goldman Sachs Global Institute</t>
        </is>
      </c>
    </row>
    <row r="14">
      <c r="A14" s="127" t="inlineStr">
        <is>
          <t>Realised vs projected AI productivity uplift</t>
        </is>
      </c>
    </row>
    <row r="15">
      <c r="A15" s="128" t="inlineStr">
        <is>
          <t>Source / scenario</t>
        </is>
      </c>
      <c r="B15" s="128" t="inlineStr">
        <is>
          <t>Annual labour productivity uplift</t>
        </is>
      </c>
      <c r="C15" s="128" t="inlineStr">
        <is>
          <t>Stance</t>
        </is>
      </c>
      <c r="D15" s="128" t="inlineStr">
        <is>
          <t>Year</t>
        </is>
      </c>
    </row>
    <row r="16">
      <c r="A16" s="129" t="inlineStr">
        <is>
          <t>Goldman Sachs (2023 — Briggs/Kodnani)</t>
        </is>
      </c>
      <c r="B16" s="130" t="inlineStr">
        <is>
          <t>+1.5pp / yr (US, 10-yr)</t>
        </is>
      </c>
      <c r="C16" s="130" t="inlineStr">
        <is>
          <t>Bullish original</t>
        </is>
      </c>
      <c r="D16" s="130" t="inlineStr">
        <is>
          <t>2023</t>
        </is>
      </c>
    </row>
    <row r="17">
      <c r="A17" s="131" t="inlineStr">
        <is>
          <t>Goldman Sachs — Hatzius 2025</t>
        </is>
      </c>
      <c r="B17" s="132" t="inlineStr">
        <is>
          <t>'Basically zero' in 2025</t>
        </is>
      </c>
      <c r="C17" s="132" t="inlineStr">
        <is>
          <t>Revised bearish</t>
        </is>
      </c>
      <c r="D17" s="132" t="inlineStr">
        <is>
          <t>2025</t>
        </is>
      </c>
    </row>
    <row r="18">
      <c r="A18" s="129" t="inlineStr">
        <is>
          <t>Goldman Sachs — Covello (Too Much Spend?)</t>
        </is>
      </c>
      <c r="B18" s="130" t="inlineStr">
        <is>
          <t>AI augments at margins; no productivity revolution</t>
        </is>
      </c>
      <c r="C18" s="130" t="inlineStr">
        <is>
          <t>Skeptical</t>
        </is>
      </c>
      <c r="D18" s="130" t="inlineStr">
        <is>
          <t>2024–2026</t>
        </is>
      </c>
    </row>
    <row r="19">
      <c r="A19" s="131" t="inlineStr">
        <is>
          <t>Acemoglu (MIT, NBER w32487)</t>
        </is>
      </c>
      <c r="B19" s="132" t="inlineStr">
        <is>
          <t>&lt;0.55% TFP total over 10yrs (~0.05%/yr)</t>
        </is>
      </c>
      <c r="C19" s="132" t="inlineStr">
        <is>
          <t>Bearish</t>
        </is>
      </c>
      <c r="D19" s="132" t="inlineStr">
        <is>
          <t>2024</t>
        </is>
      </c>
    </row>
    <row r="20">
      <c r="A20" s="129" t="inlineStr">
        <is>
          <t>McKinsey MGI</t>
        </is>
      </c>
      <c r="B20" s="130" t="inlineStr">
        <is>
          <t>+0.1–0.6% / yr (through 2040)</t>
        </is>
      </c>
      <c r="C20" s="130" t="inlineStr">
        <is>
          <t>Moderate</t>
        </is>
      </c>
      <c r="D20" s="130" t="inlineStr">
        <is>
          <t>2023</t>
        </is>
      </c>
    </row>
    <row r="21">
      <c r="A21" s="131" t="inlineStr">
        <is>
          <t>PwC AI Jobs Barometer (realised, AI-exposed)</t>
        </is>
      </c>
      <c r="B21" s="132" t="inlineStr">
        <is>
          <t>+27% over 2018–2024 (selected sectors)</t>
        </is>
      </c>
      <c r="C21" s="132" t="inlineStr">
        <is>
          <t>Realised in narrow basket</t>
        </is>
      </c>
      <c r="D21" s="132" t="inlineStr">
        <is>
          <t>2025</t>
        </is>
      </c>
    </row>
    <row r="22">
      <c r="A22" s="129" t="inlineStr">
        <is>
          <t>Statista 1378626 baseline scenario</t>
        </is>
      </c>
      <c r="B22" s="130" t="inlineStr">
        <is>
          <t>+1.5% / yr (US)</t>
        </is>
      </c>
      <c r="C22" s="130" t="inlineStr">
        <is>
          <t>Scenario forecast</t>
        </is>
      </c>
      <c r="D22" s="130" t="inlineStr">
        <is>
          <t>2025</t>
        </is>
      </c>
    </row>
    <row r="23">
      <c r="A23" s="131" t="inlineStr">
        <is>
          <t>Statista 1378626 powerful AI scenario</t>
        </is>
      </c>
      <c r="B23" s="132" t="inlineStr">
        <is>
          <t>+2.9% / yr (US)</t>
        </is>
      </c>
      <c r="C23" s="132" t="inlineStr">
        <is>
          <t>Bull scenario</t>
        </is>
      </c>
      <c r="D23" s="132" t="inlineStr">
        <is>
          <t>2025</t>
        </is>
      </c>
    </row>
    <row r="24">
      <c r="A24" s="129" t="inlineStr">
        <is>
          <t>US BLS pre-AI baseline</t>
        </is>
      </c>
      <c r="B24" s="130" t="inlineStr">
        <is>
          <t>~1.4% / yr (last decade avg)</t>
        </is>
      </c>
      <c r="C24" s="130" t="inlineStr">
        <is>
          <t>Reference</t>
        </is>
      </c>
      <c r="D24" s="130" t="inlineStr">
        <is>
          <t>—</t>
        </is>
      </c>
    </row>
    <row r="26">
      <c r="A26" s="127" t="inlineStr">
        <is>
          <t>The maths — AI revenue required to fund 2026 CapEx</t>
        </is>
      </c>
    </row>
    <row r="27">
      <c r="A27" s="128" t="inlineStr">
        <is>
          <t>Metric</t>
        </is>
      </c>
      <c r="B27" s="128" t="inlineStr">
        <is>
          <t>Value</t>
        </is>
      </c>
      <c r="C27" s="128" t="inlineStr">
        <is>
          <t>Note / source</t>
        </is>
      </c>
    </row>
    <row r="28">
      <c r="A28" s="129" t="inlineStr">
        <is>
          <t>2026 Big 5 hyperscaler CapEx</t>
        </is>
      </c>
      <c r="B28" s="130" t="inlineStr">
        <is>
          <t>$725B</t>
        </is>
      </c>
      <c r="C28" s="130" t="inlineStr">
        <is>
          <t>Statista chart 35046</t>
        </is>
      </c>
    </row>
    <row r="29">
      <c r="A29" s="131" t="inlineStr">
        <is>
          <t>Required AI revenue by 2030 (Bain)</t>
        </is>
      </c>
      <c r="B29" s="132" t="inlineStr">
        <is>
          <t>$2 trillion / yr</t>
        </is>
      </c>
      <c r="C29" s="132" t="inlineStr">
        <is>
          <t>Bain Global Technology Report 2025</t>
        </is>
      </c>
    </row>
    <row r="30">
      <c r="A30" s="129" t="inlineStr">
        <is>
          <t>Even with AI savings, still short (Bain)</t>
        </is>
      </c>
      <c r="B30" s="130" t="inlineStr">
        <is>
          <t>$800B shortfall</t>
        </is>
      </c>
      <c r="C30" s="130" t="inlineStr">
        <is>
          <t>Bain Global Technology Report 2025</t>
        </is>
      </c>
    </row>
    <row r="31">
      <c r="A31" s="131" t="inlineStr">
        <is>
          <t>OpenAI 2026 revenue (est)</t>
        </is>
      </c>
      <c r="B31" s="132" t="inlineStr">
        <is>
          <t>~$11–13B run rate</t>
        </is>
      </c>
      <c r="C31" s="132" t="inlineStr">
        <is>
          <t>Industry reports</t>
        </is>
      </c>
    </row>
    <row r="32">
      <c r="A32" s="129" t="inlineStr">
        <is>
          <t>Anthropic 2026 revenue (est)</t>
        </is>
      </c>
      <c r="B32" s="130" t="inlineStr">
        <is>
          <t>~$5–7B run rate</t>
        </is>
      </c>
      <c r="C32" s="130" t="inlineStr">
        <is>
          <t>Industry reports</t>
        </is>
      </c>
    </row>
    <row r="33">
      <c r="A33" s="131" t="inlineStr">
        <is>
          <t>All AI app revenue combined (est)</t>
        </is>
      </c>
      <c r="B33" s="132" t="inlineStr">
        <is>
          <t>&lt;$50B</t>
        </is>
      </c>
      <c r="C33" s="132" t="inlineStr">
        <is>
          <t>Far below required $2T</t>
        </is>
      </c>
    </row>
    <row r="34">
      <c r="A34" s="129" t="inlineStr">
        <is>
          <t>Implied AI revenue gap (Bain)</t>
        </is>
      </c>
      <c r="B34" s="130" t="inlineStr">
        <is>
          <t>Order-of-magnitude</t>
        </is>
      </c>
      <c r="C34" s="130" t="inlineStr">
        <is>
          <t>~40x current AI app revenue</t>
        </is>
      </c>
    </row>
    <row r="35">
      <c r="A35" s="131" t="inlineStr">
        <is>
          <t>Goldman Sachs partner observation (2026)</t>
        </is>
      </c>
      <c r="B35" s="132" t="inlineStr">
        <is>
          <t>Big Tech AI CapEx &gt; 100% of cash flow</t>
        </is>
      </c>
      <c r="C35" s="132" t="inlineStr">
        <is>
          <t>Concentrated risk</t>
        </is>
      </c>
    </row>
    <row r="37">
      <c r="A37" s="127" t="inlineStr">
        <is>
          <t>Chart data — CapEx vs required AI revenue gap</t>
        </is>
      </c>
    </row>
    <row r="38">
      <c r="A38" s="128" t="inlineStr">
        <is>
          <t>Metric</t>
        </is>
      </c>
      <c r="B38" s="128" t="inlineStr">
        <is>
          <t>USD billions</t>
        </is>
      </c>
    </row>
    <row r="39">
      <c r="A39" s="129" t="inlineStr">
        <is>
          <t>2026 CapEx (Big 5)</t>
        </is>
      </c>
      <c r="B39" s="130" t="n">
        <v>725</v>
      </c>
    </row>
    <row r="40">
      <c r="A40" s="131" t="inlineStr">
        <is>
          <t>2027 CapEx projected</t>
        </is>
      </c>
      <c r="B40" s="132" t="n">
        <v>1000</v>
      </c>
    </row>
    <row r="41">
      <c r="A41" s="129" t="inlineStr">
        <is>
          <t>AI app revenue (combined, est)</t>
        </is>
      </c>
      <c r="B41" s="130" t="n">
        <v>50</v>
      </c>
    </row>
    <row r="42">
      <c r="A42" s="131" t="inlineStr">
        <is>
          <t>Required AI revenue by 2030 (Bain)</t>
        </is>
      </c>
      <c r="B42" s="132" t="n">
        <v>2000</v>
      </c>
    </row>
    <row r="43" ht="110" customHeight="1" s="70">
      <c r="A43" s="133" t="inlineStr">
        <is>
          <t>Insight  |  The math doesn't add up. Big 5 will spend $725B in 2026 (projected $1T in 2027). Goldman Sachs estimates $7.6T cumulative 2026–2031. Yet realised macro productivity uplift sits at ~1.5% per year on the bull scenario, and Hatzius now calls 2025 GDP contribution 'basically zero'. Bain warns $2T in new AI revenue is needed by 2030 — currently AI app revenue is &lt;$50B combined. This is a 40x revenue gap funded by hyperscaler balance sheets and debt. The capex/productivity ratio is the strongest single argument that the current LLM technology trajectory hits a financial wall before it hits AGI.</t>
        </is>
      </c>
    </row>
    <row r="44" ht="28" customHeight="1" s="70">
      <c r="A44" s="134" t="inlineStr">
        <is>
          <t>Source  |  Statista — Big Tech AI CapEx to $725B in 2026  —  https://www.statista.com/chart/35046/capital-expenditure-of-meta-alphabet-amazon-and-microsoft/</t>
        </is>
      </c>
    </row>
    <row r="45" ht="28" customHeight="1" s="70">
      <c r="A45" s="134" t="inlineStr">
        <is>
          <t>Source  |  Fortune — $700B Big Tech AI spending 2026  —  https://fortune.com/2026/04/30/big-tech-hyperscalers-will-spend-700-billion-on-ai-infrastructure-this-year-with-no-clear-end-in-sight-eye-on-ai/</t>
        </is>
      </c>
    </row>
    <row r="46" ht="28" customHeight="1" s="70">
      <c r="A46" s="134" t="inlineStr">
        <is>
          <t>Source  |  Goldman Sachs — Gen AI: Too Much Spend, Too Little Benefit? (PDF)  —  https://www.goldmansachs.com/images/migrated/insights/pages/gs-research/gen-ai--too-much-spend,-too-little-benefit-/TOM_AI%202.0_ForRedaction.pdf</t>
        </is>
      </c>
    </row>
    <row r="47" ht="28" customHeight="1" s="70">
      <c r="A47" s="134" t="inlineStr">
        <is>
          <t>Source  |  Goldman Sachs — Tracking trillions (AI build-out)  —  https://www.goldmansachs.com/insights/articles/tracking-trillions-the-assumptions-shaping-scale-of-the-ai-build-out</t>
        </is>
      </c>
    </row>
    <row r="48" ht="28" customHeight="1" s="70">
      <c r="A48" s="134" t="inlineStr">
        <is>
          <t>Source  |  Goldman Sachs — A skeptical look at AI investment  —  https://www.goldmansachs.com/insights/goldman-sachs-exchanges/a-skeptical-look-at-ai-investment</t>
        </is>
      </c>
    </row>
    <row r="49" ht="28" customHeight="1" s="70">
      <c r="A49" s="134" t="inlineStr">
        <is>
          <t>Source  |  Bain — $2T in new revenue needed (Tech Report 2025)  —  https://www.bain.com/about/media-center/press-releases/20252/$2-trillion-in-new-revenue-needed-to-fund-ais-scaling-trend---bain--companys-6th-annual-global-technology-report/</t>
        </is>
      </c>
    </row>
    <row r="50" ht="28" customHeight="1" s="70">
      <c r="A50" s="134" t="inlineStr">
        <is>
          <t>Source  |  CNBC — $1T AI CapEx by 2027 forecast  —  https://www.cnbc.com/2026/04/30/ai-boom-big-tech-capital-expenditures-now-seen-topping-1-trillion-in-2027-.html</t>
        </is>
      </c>
    </row>
  </sheetData>
  <mergeCells count="10">
    <mergeCell ref="A44:J44"/>
    <mergeCell ref="A47:J47"/>
    <mergeCell ref="A45:J45"/>
    <mergeCell ref="A46:J46"/>
    <mergeCell ref="A1:J1"/>
    <mergeCell ref="A50:J50"/>
    <mergeCell ref="A48:J48"/>
    <mergeCell ref="A43:J43"/>
    <mergeCell ref="A2:J2"/>
    <mergeCell ref="A49:J49"/>
  </mergeCells>
  <hyperlinks>
    <hyperlink xmlns:r="http://schemas.openxmlformats.org/officeDocument/2006/relationships" ref="A44" r:id="rId1"/>
    <hyperlink xmlns:r="http://schemas.openxmlformats.org/officeDocument/2006/relationships" ref="A45" r:id="rId2"/>
    <hyperlink xmlns:r="http://schemas.openxmlformats.org/officeDocument/2006/relationships" ref="A46" r:id="rId3"/>
    <hyperlink xmlns:r="http://schemas.openxmlformats.org/officeDocument/2006/relationships" ref="A47" r:id="rId4"/>
    <hyperlink xmlns:r="http://schemas.openxmlformats.org/officeDocument/2006/relationships" ref="A48" r:id="rId5"/>
    <hyperlink xmlns:r="http://schemas.openxmlformats.org/officeDocument/2006/relationships" ref="A49" r:id="rId6"/>
    <hyperlink xmlns:r="http://schemas.openxmlformats.org/officeDocument/2006/relationships" ref="A50" r:id="rId7"/>
  </hyperlinks>
  <pageMargins left="0.75" right="0.75" top="1" bottom="1" header="0.5" footer="0.5"/>
  <drawing xmlns:r="http://schemas.openxmlformats.org/officeDocument/2006/relationships" r:id="rId8"/>
</worksheet>
</file>

<file path=xl/worksheets/sheet19.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28" customWidth="1" style="70" min="1" max="1"/>
    <col width="16" customWidth="1" style="70" min="2" max="2"/>
    <col width="18" customWidth="1" style="70" min="3" max="3"/>
    <col width="18" customWidth="1" style="70" min="4" max="4"/>
    <col width="18" customWidth="1" style="70" min="5" max="5"/>
    <col width="14" customWidth="1" style="70" min="6" max="6"/>
    <col width="14" customWidth="1" style="70" min="7" max="7"/>
    <col width="14" customWidth="1" style="70" min="8" max="8"/>
    <col width="14" customWidth="1" style="70" min="9" max="9"/>
    <col width="14" customWidth="1" style="70" min="10" max="10"/>
  </cols>
  <sheetData>
    <row r="1" ht="32" customHeight="1" s="70">
      <c r="A1" s="125" t="inlineStr">
        <is>
          <t>HX01  |  Industrial revolutions comparison — every previous tech revolution showed 0.5–3% productivity gain, with 20–40 year diffusion lag</t>
        </is>
      </c>
    </row>
    <row r="2" ht="22" customHeight="1" s="70">
      <c r="A2" s="126" t="inlineStr">
        <is>
          <t>How does AI's productivity profile compare to past general-purpose technology revolutions?</t>
        </is>
      </c>
    </row>
    <row r="4">
      <c r="A4" s="127" t="inlineStr">
        <is>
          <t>Productivity gains by general-purpose technology revolution</t>
        </is>
      </c>
    </row>
    <row r="5">
      <c r="A5" s="128" t="inlineStr">
        <is>
          <t>Revolution</t>
        </is>
      </c>
      <c r="B5" s="128" t="inlineStr">
        <is>
          <t>Trigger period</t>
        </is>
      </c>
      <c r="C5" s="128" t="inlineStr">
        <is>
          <t>Productivity uplift achieved</t>
        </is>
      </c>
      <c r="D5" s="128" t="inlineStr">
        <is>
          <t>Diffusion lag</t>
        </is>
      </c>
      <c r="E5" s="128" t="inlineStr">
        <is>
          <t>Driver of slow adoption</t>
        </is>
      </c>
      <c r="F5" s="128" t="inlineStr">
        <is>
          <t>Source</t>
        </is>
      </c>
    </row>
    <row r="6">
      <c r="A6" s="129" t="inlineStr">
        <is>
          <t>First Industrial Revolution — steam</t>
        </is>
      </c>
      <c r="B6" s="130" t="inlineStr">
        <is>
          <t>1760–1810 (UK)</t>
        </is>
      </c>
      <c r="C6" s="130" t="inlineStr">
        <is>
          <t>~0.5% / yr early, +1% later</t>
        </is>
      </c>
      <c r="D6" s="130" t="inlineStr">
        <is>
          <t>50+ years</t>
        </is>
      </c>
      <c r="E6" s="130" t="inlineStr">
        <is>
          <t>Capital intensity, factory reorganisation</t>
        </is>
      </c>
      <c r="F6" s="130" t="inlineStr">
        <is>
          <t>Crafts (FRBSF / Bank of Italy)</t>
        </is>
      </c>
    </row>
    <row r="7">
      <c r="A7" s="131" t="inlineStr">
        <is>
          <t>Second Industrial Revolution — electricity</t>
        </is>
      </c>
      <c r="B7" s="132" t="inlineStr">
        <is>
          <t>1880–1930</t>
        </is>
      </c>
      <c r="C7" s="132" t="inlineStr">
        <is>
          <t>~1.5% / yr after diffusion</t>
        </is>
      </c>
      <c r="D7" s="132" t="inlineStr">
        <is>
          <t>30–40 years</t>
        </is>
      </c>
      <c r="E7" s="132" t="inlineStr">
        <is>
          <t>Paul David: factory unit-drive redesign</t>
        </is>
      </c>
      <c r="F7" s="132" t="inlineStr">
        <is>
          <t>David 1990, NBER w8676</t>
        </is>
      </c>
    </row>
    <row r="8">
      <c r="A8" s="129" t="inlineStr">
        <is>
          <t>IT revolution / 'Solow paradox'</t>
        </is>
      </c>
      <c r="B8" s="130" t="inlineStr">
        <is>
          <t>1970s–1990s</t>
        </is>
      </c>
      <c r="C8" s="130" t="inlineStr">
        <is>
          <t>Initial: 0.2pp drop. 1990s: +1pp recovery</t>
        </is>
      </c>
      <c r="D8" s="130" t="inlineStr">
        <is>
          <t>20+ years</t>
        </is>
      </c>
      <c r="E8" s="130" t="inlineStr">
        <is>
          <t>Brynjolfsson: complementary capital, retraining</t>
        </is>
      </c>
      <c r="F8" s="130" t="inlineStr">
        <is>
          <t>Solow 1987, Brynjolfsson 1993</t>
        </is>
      </c>
    </row>
    <row r="9">
      <c r="A9" s="131" t="inlineStr">
        <is>
          <t>Internet / digital revolution</t>
        </is>
      </c>
      <c r="B9" s="132" t="inlineStr">
        <is>
          <t>1995–2010</t>
        </is>
      </c>
      <c r="C9" s="132" t="inlineStr">
        <is>
          <t>+1.0–1.5% / yr (US, peak years)</t>
        </is>
      </c>
      <c r="D9" s="132" t="inlineStr">
        <is>
          <t>10–15 years</t>
        </is>
      </c>
      <c r="E9" s="132" t="inlineStr">
        <is>
          <t>Stretched 2008 crash, then leveled</t>
        </is>
      </c>
      <c r="F9" s="132" t="inlineStr">
        <is>
          <t>BLS data</t>
        </is>
      </c>
    </row>
    <row r="10">
      <c r="A10" s="129" t="inlineStr">
        <is>
          <t>AI / generative AI (today)</t>
        </is>
      </c>
      <c r="B10" s="130" t="inlineStr">
        <is>
          <t>2022–</t>
        </is>
      </c>
      <c r="C10" s="130" t="inlineStr">
        <is>
          <t>~1.5% / yr scenario (bull); ~0% realised 2025</t>
        </is>
      </c>
      <c r="D10" s="130" t="inlineStr">
        <is>
          <t>Diffusion in progress — 10% US firms in production</t>
        </is>
      </c>
      <c r="E10" s="130" t="inlineStr">
        <is>
          <t>Same complementary-capital issue</t>
        </is>
      </c>
      <c r="F10" s="130" t="inlineStr">
        <is>
          <t>Goldman / Acemoglu / Statista 1378626</t>
        </is>
      </c>
    </row>
    <row r="12">
      <c r="A12" s="127" t="inlineStr">
        <is>
          <t>The pattern — every revolution looks identical at this stage</t>
        </is>
      </c>
    </row>
    <row r="13">
      <c r="A13" s="128" t="inlineStr">
        <is>
          <t>Stage</t>
        </is>
      </c>
      <c r="B13" s="128" t="inlineStr">
        <is>
          <t>What happens</t>
        </is>
      </c>
      <c r="C13" s="128" t="inlineStr">
        <is>
          <t>Historical precedent</t>
        </is>
      </c>
      <c r="D13" s="128" t="inlineStr">
        <is>
          <t>AI today</t>
        </is>
      </c>
    </row>
    <row r="14">
      <c r="A14" s="129" t="inlineStr">
        <is>
          <t>1. Technology emerges</t>
        </is>
      </c>
      <c r="B14" s="130" t="inlineStr">
        <is>
          <t>Inventors, demos, capital floods in</t>
        </is>
      </c>
      <c r="C14" s="130" t="inlineStr">
        <is>
          <t>Steam engine 1760s; dynamo 1880s; mainframe 1960s</t>
        </is>
      </c>
      <c r="D14" s="130" t="inlineStr">
        <is>
          <t>Transformer 2017; ChatGPT Nov 2022</t>
        </is>
      </c>
    </row>
    <row r="15">
      <c r="A15" s="131" t="inlineStr">
        <is>
          <t>2. Skepticism band</t>
        </is>
      </c>
      <c r="B15" s="132" t="inlineStr">
        <is>
          <t>Productivity statistics show nothing</t>
        </is>
      </c>
      <c r="C15" s="132" t="inlineStr">
        <is>
          <t>Solow paradox 1980s</t>
        </is>
      </c>
      <c r="D15" s="132" t="inlineStr">
        <is>
          <t>Hatzius 'basically zero' 2025; MIT NANDA 95% pilots fail</t>
        </is>
      </c>
    </row>
    <row r="16">
      <c r="A16" s="129" t="inlineStr">
        <is>
          <t>3. Diffusion lag</t>
        </is>
      </c>
      <c r="B16" s="130" t="inlineStr">
        <is>
          <t>Firms wait, retrain, redesign workflows</t>
        </is>
      </c>
      <c r="C16" s="130" t="inlineStr">
        <is>
          <t>30–40 years for electricity</t>
        </is>
      </c>
      <c r="D16" s="130" t="inlineStr">
        <is>
          <t>Currently in this stage</t>
        </is>
      </c>
    </row>
    <row r="17">
      <c r="A17" s="131" t="inlineStr">
        <is>
          <t>4. Complementary investment</t>
        </is>
      </c>
      <c r="B17" s="132" t="inlineStr">
        <is>
          <t>Capital + skills + reorganisation align</t>
        </is>
      </c>
      <c r="C17" s="132" t="inlineStr">
        <is>
          <t>Unit-drive factory redesign, 1920s</t>
        </is>
      </c>
      <c r="D17" s="132" t="inlineStr">
        <is>
          <t>Workflow redesign + governance + skills</t>
        </is>
      </c>
    </row>
    <row r="18">
      <c r="A18" s="129" t="inlineStr">
        <is>
          <t>5. Productivity acceleration</t>
        </is>
      </c>
      <c r="B18" s="130" t="inlineStr">
        <is>
          <t>Measurable uplift hits BLS data</t>
        </is>
      </c>
      <c r="C18" s="130" t="inlineStr">
        <is>
          <t>1920s for electricity; 1990s for IT</t>
        </is>
      </c>
      <c r="D18" s="130" t="inlineStr">
        <is>
          <t>Estimated 2030s if pattern holds</t>
        </is>
      </c>
    </row>
    <row r="20">
      <c r="A20" s="127" t="inlineStr">
        <is>
          <t>Chart data — productivity uplift by revolution (annual % at peak)</t>
        </is>
      </c>
    </row>
    <row r="21">
      <c r="A21" s="128" t="inlineStr">
        <is>
          <t>Revolution</t>
        </is>
      </c>
      <c r="B21" s="128" t="inlineStr">
        <is>
          <t>Productivity uplift %/yr</t>
        </is>
      </c>
    </row>
    <row r="22">
      <c r="A22" s="129" t="inlineStr">
        <is>
          <t>Steam (1st industrial)</t>
        </is>
      </c>
      <c r="B22" s="130" t="n">
        <v>0.5</v>
      </c>
    </row>
    <row r="23">
      <c r="A23" s="131" t="inlineStr">
        <is>
          <t>Electricity (2nd industrial)</t>
        </is>
      </c>
      <c r="B23" s="132" t="n">
        <v>1.5</v>
      </c>
    </row>
    <row r="24">
      <c r="A24" s="129" t="inlineStr">
        <is>
          <t>IT pre-1990s (Solow)</t>
        </is>
      </c>
      <c r="B24" s="130" t="n">
        <v>0.2</v>
      </c>
    </row>
    <row r="25">
      <c r="A25" s="131" t="inlineStr">
        <is>
          <t>IT post-1990s recovery</t>
        </is>
      </c>
      <c r="B25" s="132" t="n">
        <v>1</v>
      </c>
    </row>
    <row r="26">
      <c r="A26" s="129" t="inlineStr">
        <is>
          <t>Internet/digital</t>
        </is>
      </c>
      <c r="B26" s="130" t="n">
        <v>1.25</v>
      </c>
    </row>
    <row r="27">
      <c r="A27" s="131" t="inlineStr">
        <is>
          <t>AI bull scenario (Statista)</t>
        </is>
      </c>
      <c r="B27" s="132" t="n">
        <v>2.9</v>
      </c>
    </row>
    <row r="28">
      <c r="A28" s="129" t="inlineStr">
        <is>
          <t>AI bear scenario (Acemoglu)</t>
        </is>
      </c>
      <c r="B28" s="130" t="n">
        <v>0.05</v>
      </c>
    </row>
    <row r="29" ht="110" customHeight="1" s="70">
      <c r="A29" s="133" t="inlineStr">
        <is>
          <t>Insight  |  No prior general-purpose technology revolution delivered more than ~3% annual productivity uplift at its peak — and most took 20–40 years to reach that peak (Paul David's diffusion lag). AI's bull-case scenario (Statista 2.9%/yr) is at the top of the historical range; the realised 2025 number (Hatzius 'basically zero') matches the Solow paradox phase of every previous revolution. This DOES NOT mean AI fails — it means the pattern is normal. But it does mean AI vendors claiming '10x' or 'AGI by 2026' are claiming results no previous general-purpose technology revolution has ever produced.</t>
        </is>
      </c>
    </row>
    <row r="30" ht="28" customHeight="1" s="70">
      <c r="A30" s="134" t="inlineStr">
        <is>
          <t>Source  |  Crafts — Productivity Growth in the Industrial Revolution (FRBSF PDF)  —  https://www.frbsf.org/wp-content/uploads/crafts.pdf</t>
        </is>
      </c>
    </row>
    <row r="31" ht="28" customHeight="1" s="70">
      <c r="A31" s="134" t="inlineStr">
        <is>
          <t>Source  |  Paul David — Dynamo and Computer (NBER w8676)  —  https://www.nber.org/papers/w8676</t>
        </is>
      </c>
    </row>
    <row r="32" ht="28" customHeight="1" s="70">
      <c r="A32" s="134" t="inlineStr">
        <is>
          <t>Source  |  Brookings — Solow Productivity Paradox  —  https://www.brookings.edu/articles/the-solow-productivity-paradox-what-do-computers-do-to-productivity/</t>
        </is>
      </c>
    </row>
    <row r="33" ht="28" customHeight="1" s="70">
      <c r="A33" s="134" t="inlineStr">
        <is>
          <t>Source  |  McKinsey — Is the Solow Paradox back?  —  https://www.mckinsey.com/capabilities/tech-and-ai/our-insights/is-the-solow-paradox-back</t>
        </is>
      </c>
    </row>
    <row r="34" ht="28" customHeight="1" s="70">
      <c r="A34" s="134" t="inlineStr">
        <is>
          <t>Source  |  Wikipedia — Productivity paradox  —  https://en.wikipedia.org/wiki/Productivity_paradox</t>
        </is>
      </c>
    </row>
    <row r="35" ht="28" customHeight="1" s="70">
      <c r="A35" s="134" t="inlineStr">
        <is>
          <t>Source  |  Fortune — AI productivity paradox resurfaces 2026  —  https://fortune.com/2026/02/17/ai-productivity-paradox-ceo-study-robert-solow-information-technology-age/</t>
        </is>
      </c>
    </row>
  </sheetData>
  <mergeCells count="9">
    <mergeCell ref="A1:J1"/>
    <mergeCell ref="A32:J32"/>
    <mergeCell ref="A31:J31"/>
    <mergeCell ref="A30:J30"/>
    <mergeCell ref="A34:J34"/>
    <mergeCell ref="A29:J29"/>
    <mergeCell ref="A35:J35"/>
    <mergeCell ref="A2:J2"/>
    <mergeCell ref="A33:J33"/>
  </mergeCells>
  <hyperlinks>
    <hyperlink xmlns:r="http://schemas.openxmlformats.org/officeDocument/2006/relationships" ref="A30" r:id="rId1"/>
    <hyperlink xmlns:r="http://schemas.openxmlformats.org/officeDocument/2006/relationships" ref="A31" r:id="rId2"/>
    <hyperlink xmlns:r="http://schemas.openxmlformats.org/officeDocument/2006/relationships" ref="A32" r:id="rId3"/>
    <hyperlink xmlns:r="http://schemas.openxmlformats.org/officeDocument/2006/relationships" ref="A33" r:id="rId4"/>
    <hyperlink xmlns:r="http://schemas.openxmlformats.org/officeDocument/2006/relationships" ref="A34" r:id="rId5"/>
    <hyperlink xmlns:r="http://schemas.openxmlformats.org/officeDocument/2006/relationships" ref="A35" r:id="rId6"/>
  </hyperlinks>
  <pageMargins left="0.75" right="0.75" top="1" bottom="1" header="0.5" footer="0.5"/>
  <drawing xmlns:r="http://schemas.openxmlformats.org/officeDocument/2006/relationships" r:id="rId7"/>
</worksheet>
</file>

<file path=xl/worksheets/sheet20.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ST01  |  30% of tasks already automated by AI; execs expect +40pp more in 2 years — Statista/Capgemini, 2025</t>
        </is>
      </c>
    </row>
    <row r="2" ht="21.75" customHeight="1" s="70">
      <c r="A2" s="84" t="inlineStr">
        <is>
          <t>What share of work tasks do senior executives say AI is automating, and what is the trajectory?</t>
        </is>
      </c>
    </row>
    <row r="4" ht="15" customHeight="1" s="70">
      <c r="A4" s="79" t="inlineStr">
        <is>
          <t>Metric</t>
        </is>
      </c>
      <c r="B4" s="79" t="inlineStr">
        <is>
          <t>Value (%)</t>
        </is>
      </c>
      <c r="C4" s="79" t="inlineStr">
        <is>
          <t>Period</t>
        </is>
      </c>
      <c r="D4" s="79" t="inlineStr">
        <is>
          <t>Population</t>
        </is>
      </c>
    </row>
    <row r="5" ht="23.25" customHeight="1" s="70">
      <c r="A5" s="86" t="inlineStr">
        <is>
          <t>Tasks automated by AI/Gen AI/AI agents — last 2 years</t>
        </is>
      </c>
      <c r="B5" s="87" t="n">
        <v>30</v>
      </c>
      <c r="C5" s="87" t="inlineStr">
        <is>
          <t>2023–2025</t>
        </is>
      </c>
      <c r="D5" s="87" t="inlineStr">
        <is>
          <t>n=1,503 senior execs</t>
        </is>
      </c>
    </row>
    <row r="6" ht="23.25" customHeight="1" s="70">
      <c r="A6" s="88" t="inlineStr">
        <is>
          <t>Tasks expected to be automated — next 2 years (additional)</t>
        </is>
      </c>
      <c r="B6" s="89" t="n">
        <v>40</v>
      </c>
      <c r="C6" s="89" t="inlineStr">
        <is>
          <t>2025–2027</t>
        </is>
      </c>
      <c r="D6" s="89" t="inlineStr">
        <is>
          <t>Same survey</t>
        </is>
      </c>
    </row>
    <row r="7" ht="15" customHeight="1" s="70">
      <c r="A7" s="86" t="inlineStr">
        <is>
          <t>Expected employee time freed up — next 2 years</t>
        </is>
      </c>
      <c r="B7" s="87" t="n">
        <v>39</v>
      </c>
      <c r="C7" s="87" t="inlineStr">
        <is>
          <t>2025–2027</t>
        </is>
      </c>
      <c r="D7" s="87" t="inlineStr">
        <is>
          <t>Same survey</t>
        </is>
      </c>
    </row>
    <row r="9" ht="15" customHeight="1" s="70">
      <c r="A9" s="85" t="inlineStr">
        <is>
          <t>Chart data — Capgemini executive expectation</t>
        </is>
      </c>
    </row>
    <row r="10" ht="15" customHeight="1" s="70">
      <c r="A10" s="79" t="inlineStr">
        <is>
          <t>Metric</t>
        </is>
      </c>
      <c r="B10" s="79" t="inlineStr">
        <is>
          <t>%</t>
        </is>
      </c>
    </row>
    <row r="11" ht="15" customHeight="1" s="70">
      <c r="A11" s="86" t="inlineStr">
        <is>
          <t>Automated last 2 yrs</t>
        </is>
      </c>
      <c r="B11" s="87" t="n">
        <v>30</v>
      </c>
    </row>
    <row r="12" ht="15" customHeight="1" s="70">
      <c r="A12" s="88" t="inlineStr">
        <is>
          <t>Additional next 2 yrs</t>
        </is>
      </c>
      <c r="B12" s="89" t="n">
        <v>40</v>
      </c>
    </row>
    <row r="13" ht="15" customHeight="1" s="70">
      <c r="A13" s="86" t="inlineStr">
        <is>
          <t>Time freed up</t>
        </is>
      </c>
      <c r="B13" s="87" t="n">
        <v>39</v>
      </c>
    </row>
    <row r="14" ht="60" customHeight="1" s="70">
      <c r="A14" s="90" t="inlineStr">
        <is>
          <t>Insight  |  Senior-executive expectation (~70% task automation by 2027) is 5–10x higher than RCT-measured 14–40% uplift in M01. The gap = the MIT NANDA 'GenAI Divide'. Treat as buyer-expectation calibration data, not a value-pricing anchor.</t>
        </is>
      </c>
    </row>
    <row r="15" ht="30" customHeight="1" s="70">
      <c r="A15" s="77" t="inlineStr">
        <is>
          <t>Source  |  Statista 1619156 — Task automation expectations  —  https://www.statista.com/statistics/1619156/ai-task-automation-trends-among-employees-global/</t>
        </is>
      </c>
    </row>
    <row r="16" ht="30" customHeight="1" s="70">
      <c r="A16" s="77" t="inlineStr">
        <is>
          <t>Source  |  Capgemini AI in action (June 2025)  —  https://www.capgemini.com/insights/research-library/ai-in-action/</t>
        </is>
      </c>
    </row>
  </sheetData>
  <mergeCells count="5">
    <mergeCell ref="A15:H15"/>
    <mergeCell ref="A2:H2"/>
    <mergeCell ref="A16:H16"/>
    <mergeCell ref="A14:H14"/>
    <mergeCell ref="A1:H1"/>
  </mergeCells>
  <hyperlinks>
    <hyperlink xmlns:r="http://schemas.openxmlformats.org/officeDocument/2006/relationships" ref="A15" display="Source  |  Statista 1619156 — Task automation expectations  —  https://www.statista.com/statistics/1619156/ai-task-automation-trends-among-employees-global/" r:id="rId1"/>
    <hyperlink xmlns:r="http://schemas.openxmlformats.org/officeDocument/2006/relationships" ref="A16" display="Source  |  Capgemini AI in action (June 2025)  —  https://www.capgemini.com/insights/research-library/ai-in-action/"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xl/worksheets/sheet21.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ST02  |  Cost reductions from analytical AI cluster &lt;10% across most functions — only risk shows 20%+ — Statista 2025</t>
        </is>
      </c>
    </row>
    <row r="2" ht="21.75" customHeight="1" s="70">
      <c r="A2" s="84" t="inlineStr">
        <is>
          <t>Where are organisations seeing measurable cost savings from AI, by function?</t>
        </is>
      </c>
    </row>
    <row r="4" ht="23.25" customHeight="1" s="70">
      <c r="A4" s="79" t="inlineStr">
        <is>
          <t>Function</t>
        </is>
      </c>
      <c r="B4" s="79" t="inlineStr">
        <is>
          <t>Typical cost reduction band</t>
        </is>
      </c>
      <c r="C4" s="79" t="inlineStr">
        <is>
          <t>Distribution</t>
        </is>
      </c>
    </row>
    <row r="5" ht="15" customHeight="1" s="70">
      <c r="A5" s="86" t="inlineStr">
        <is>
          <t>Marketing &amp; sales</t>
        </is>
      </c>
      <c r="B5" s="87" t="inlineStr">
        <is>
          <t>&lt;10%</t>
        </is>
      </c>
      <c r="C5" s="87" t="inlineStr">
        <is>
          <t>Common</t>
        </is>
      </c>
    </row>
    <row r="6" ht="15" customHeight="1" s="70">
      <c r="A6" s="88" t="inlineStr">
        <is>
          <t>HR</t>
        </is>
      </c>
      <c r="B6" s="89" t="inlineStr">
        <is>
          <t>&lt;10%</t>
        </is>
      </c>
      <c r="C6" s="89" t="inlineStr">
        <is>
          <t>Common</t>
        </is>
      </c>
    </row>
    <row r="7" ht="15" customHeight="1" s="70">
      <c r="A7" s="86" t="inlineStr">
        <is>
          <t>IT (most respondents)</t>
        </is>
      </c>
      <c r="B7" s="87" t="inlineStr">
        <is>
          <t>&lt;10%</t>
        </is>
      </c>
      <c r="C7" s="87" t="inlineStr">
        <is>
          <t>Common</t>
        </is>
      </c>
    </row>
    <row r="8" ht="15" customHeight="1" s="70">
      <c r="A8" s="88" t="inlineStr">
        <is>
          <t>IT (heavier deployments)</t>
        </is>
      </c>
      <c r="B8" s="89" t="inlineStr">
        <is>
          <t>10–19%</t>
        </is>
      </c>
      <c r="C8" s="89" t="inlineStr">
        <is>
          <t>Notable share</t>
        </is>
      </c>
    </row>
    <row r="9" ht="15" customHeight="1" s="70">
      <c r="A9" s="86" t="inlineStr">
        <is>
          <t>Software engineering</t>
        </is>
      </c>
      <c r="B9" s="87" t="inlineStr">
        <is>
          <t>10–19%</t>
        </is>
      </c>
      <c r="C9" s="87" t="inlineStr">
        <is>
          <t>Notable share</t>
        </is>
      </c>
    </row>
    <row r="10" ht="23.25" customHeight="1" s="70">
      <c r="A10" s="88" t="inlineStr">
        <is>
          <t>Risk function</t>
        </is>
      </c>
      <c r="B10" s="89" t="inlineStr">
        <is>
          <t>&gt;20%</t>
        </is>
      </c>
      <c r="C10" s="89" t="inlineStr">
        <is>
          <t>Most frequent in this band</t>
        </is>
      </c>
    </row>
    <row r="12" ht="15" customHeight="1" s="70">
      <c r="A12" s="85" t="inlineStr">
        <is>
          <t>Chart data — modal cost reduction by function (midpoint %)</t>
        </is>
      </c>
    </row>
    <row r="13" ht="23.25" customHeight="1" s="70">
      <c r="A13" s="79" t="inlineStr">
        <is>
          <t>Function</t>
        </is>
      </c>
      <c r="B13" s="79" t="inlineStr">
        <is>
          <t>Modal cost reduction %</t>
        </is>
      </c>
    </row>
    <row r="14" ht="15" customHeight="1" s="70">
      <c r="A14" s="86" t="inlineStr">
        <is>
          <t>Marketing &amp; sales</t>
        </is>
      </c>
      <c r="B14" s="87" t="n">
        <v>5</v>
      </c>
    </row>
    <row r="15" ht="15" customHeight="1" s="70">
      <c r="A15" s="88" t="inlineStr">
        <is>
          <t>HR</t>
        </is>
      </c>
      <c r="B15" s="89" t="n">
        <v>5</v>
      </c>
    </row>
    <row r="16" ht="15" customHeight="1" s="70">
      <c r="A16" s="86" t="inlineStr">
        <is>
          <t>IT (general)</t>
        </is>
      </c>
      <c r="B16" s="87" t="n">
        <v>7</v>
      </c>
    </row>
    <row r="17" ht="15" customHeight="1" s="70">
      <c r="A17" s="88" t="inlineStr">
        <is>
          <t>IT (heavier deployments)</t>
        </is>
      </c>
      <c r="B17" s="89" t="n">
        <v>15</v>
      </c>
    </row>
    <row r="18" ht="15" customHeight="1" s="70">
      <c r="A18" s="86" t="inlineStr">
        <is>
          <t>Software engineering</t>
        </is>
      </c>
      <c r="B18" s="87" t="n">
        <v>15</v>
      </c>
    </row>
    <row r="19" ht="15" customHeight="1" s="70">
      <c r="A19" s="88" t="inlineStr">
        <is>
          <t>Risk</t>
        </is>
      </c>
      <c r="B19" s="89" t="n">
        <v>25</v>
      </c>
    </row>
    <row r="20" ht="60" customHeight="1" s="70">
      <c r="A20" s="90" t="inlineStr">
        <is>
          <t>Insight  |  Statista's enterprise survey directly supports the 2x (not 10x) thesis: most functions report &lt;10% cost decline. The exception — risk — gets &gt;20% because it sits closest to the high-stakes/regulated condition where 10x pricing is defensible (V02). Use this as defensive evidence in buyer ROI conversations: 'most adopters see &lt;10% function-level cost decline; we will commit to the upper band'.</t>
        </is>
      </c>
    </row>
    <row r="21" ht="30" customHeight="1" s="70">
      <c r="A21" s="77" t="inlineStr">
        <is>
          <t>Source  |  Statista 1610952 — Cost reductions by AI function  —  https://www.statista.com/statistics/1610952/cost-decrease-by-ai-analytics-enterprise/</t>
        </is>
      </c>
    </row>
  </sheetData>
  <mergeCells count="4">
    <mergeCell ref="A20:H20"/>
    <mergeCell ref="A2:H2"/>
    <mergeCell ref="A21:H21"/>
    <mergeCell ref="A1:H1"/>
  </mergeCells>
  <hyperlinks>
    <hyperlink xmlns:r="http://schemas.openxmlformats.org/officeDocument/2006/relationships" ref="A21" display="Source  |  Statista 1610952 — Cost reductions by AI function  —  https://www.statista.com/statistics/1610952/cost-decrease-by-ai-analytics-enterprise/"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
</worksheet>
</file>

<file path=xl/worksheets/sheet22.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ST03  |  AI revenue uplift in financial services — 23% of firms see &gt;20% revenue increase, but distribution is long-tailed — Statista 2024</t>
        </is>
      </c>
    </row>
    <row r="2" ht="21.75" customHeight="1" s="70">
      <c r="A2" s="84" t="inlineStr">
        <is>
          <t>What revenue impact are financial services firms actually capturing from AI?</t>
        </is>
      </c>
    </row>
    <row r="4" ht="15" customHeight="1" s="70">
      <c r="A4" s="79" t="inlineStr">
        <is>
          <t>Outcome</t>
        </is>
      </c>
      <c r="B4" s="79" t="inlineStr">
        <is>
          <t>% of firms</t>
        </is>
      </c>
      <c r="C4" s="79" t="inlineStr">
        <is>
          <t>Note</t>
        </is>
      </c>
    </row>
    <row r="5" ht="23.25" customHeight="1" s="70">
      <c r="A5" s="86" t="inlineStr">
        <is>
          <t>Revenue increase 5–10%</t>
        </is>
      </c>
      <c r="B5" s="87" t="n">
        <v>29</v>
      </c>
      <c r="C5" s="87" t="inlineStr">
        <is>
          <t>Largest single band</t>
        </is>
      </c>
    </row>
    <row r="6" ht="15" customHeight="1" s="70">
      <c r="A6" s="88" t="inlineStr">
        <is>
          <t>Revenue increase 10–20%</t>
        </is>
      </c>
      <c r="B6" s="89" t="n">
        <v>16</v>
      </c>
      <c r="C6" s="89" t="inlineStr">
        <is>
          <t>Mid band</t>
        </is>
      </c>
    </row>
    <row r="7" ht="23.25" customHeight="1" s="70">
      <c r="A7" s="86" t="inlineStr">
        <is>
          <t>Revenue increase &gt;20%</t>
        </is>
      </c>
      <c r="B7" s="87" t="n">
        <v>23</v>
      </c>
      <c r="C7" s="87" t="inlineStr">
        <is>
          <t>Material — but small sample</t>
        </is>
      </c>
    </row>
    <row r="8" ht="15" customHeight="1" s="70">
      <c r="A8" s="88" t="inlineStr">
        <is>
          <t>No / unclear revenue impact</t>
        </is>
      </c>
      <c r="B8" s="89" t="n">
        <v>32</v>
      </c>
      <c r="C8" s="89" t="inlineStr">
        <is>
          <t>Implied residual</t>
        </is>
      </c>
    </row>
    <row r="10" ht="15" customHeight="1" s="70">
      <c r="A10" s="85" t="inlineStr">
        <is>
          <t>Chart data — revenue increase distribution</t>
        </is>
      </c>
    </row>
    <row r="11" ht="15" customHeight="1" s="70">
      <c r="A11" s="79" t="inlineStr">
        <is>
          <t>Band</t>
        </is>
      </c>
      <c r="B11" s="79" t="inlineStr">
        <is>
          <t>% of firms</t>
        </is>
      </c>
    </row>
    <row r="12" ht="15" customHeight="1" s="70">
      <c r="A12" s="86" t="inlineStr">
        <is>
          <t>5–10% revenue</t>
        </is>
      </c>
      <c r="B12" s="87" t="n">
        <v>29</v>
      </c>
    </row>
    <row r="13" ht="15" customHeight="1" s="70">
      <c r="A13" s="88" t="inlineStr">
        <is>
          <t>10–20% revenue</t>
        </is>
      </c>
      <c r="B13" s="89" t="n">
        <v>16</v>
      </c>
    </row>
    <row r="14" ht="15" customHeight="1" s="70">
      <c r="A14" s="86" t="inlineStr">
        <is>
          <t>&gt;20% revenue</t>
        </is>
      </c>
      <c r="B14" s="87" t="n">
        <v>23</v>
      </c>
    </row>
    <row r="15" ht="15" customHeight="1" s="70">
      <c r="A15" s="88" t="inlineStr">
        <is>
          <t>No / unclear</t>
        </is>
      </c>
      <c r="B15" s="89" t="n">
        <v>32</v>
      </c>
    </row>
    <row r="16" ht="60" customHeight="1" s="70">
      <c r="A16" s="90" t="inlineStr">
        <is>
          <t>Insight  |  Financial services shows the cleanest revenue uplift data in the dataset — 68% of firms report measurable revenue impact, 23% above 20%. This is the sector closest to defending 10x pricing, because (a) outcomes are attributable, (b) regulated workflows, (c) high-margin business. Use as the lead reference in pricing pitches for FinServ.</t>
        </is>
      </c>
    </row>
    <row r="17" ht="30" customHeight="1" s="70">
      <c r="A17" s="77" t="inlineStr">
        <is>
          <t>Source  |  Statista 1254724 — AI revenue impact in financial services  —  https://www.statista.com/statistics/1254724/revenue-impact-of-ai-financial-services/</t>
        </is>
      </c>
    </row>
  </sheetData>
  <mergeCells count="4">
    <mergeCell ref="A1:H1"/>
    <mergeCell ref="A2:H2"/>
    <mergeCell ref="A16:H16"/>
    <mergeCell ref="A17:H17"/>
  </mergeCells>
  <hyperlinks>
    <hyperlink xmlns:r="http://schemas.openxmlformats.org/officeDocument/2006/relationships" ref="A17" display="Source  |  Statista 1254724 — AI revenue impact in financial services  —  https://www.statista.com/statistics/1254724/revenue-impact-of-ai-financial-services/"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
</worksheet>
</file>

<file path=xl/worksheets/sheet23.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ST04  |  40% of FinServ firms report AI increased profitability; 43% report no change — Statista 2026</t>
        </is>
      </c>
    </row>
    <row r="2" ht="21.75" customHeight="1" s="70">
      <c r="A2" s="84" t="inlineStr">
        <is>
          <t>How does AI translate to bottom-line profitability in financial services?</t>
        </is>
      </c>
    </row>
    <row r="4" ht="15" customHeight="1" s="70">
      <c r="A4" s="79" t="inlineStr">
        <is>
          <t>Profitability outcome</t>
        </is>
      </c>
      <c r="B4" s="79" t="inlineStr">
        <is>
          <t>% of firms</t>
        </is>
      </c>
    </row>
    <row r="5" ht="15" customHeight="1" s="70">
      <c r="A5" s="86" t="inlineStr">
        <is>
          <t>Profitability increased / significantly increased</t>
        </is>
      </c>
      <c r="B5" s="87" t="n">
        <v>40</v>
      </c>
    </row>
    <row r="6" ht="15" customHeight="1" s="70">
      <c r="A6" s="88" t="inlineStr">
        <is>
          <t>No change</t>
        </is>
      </c>
      <c r="B6" s="89" t="n">
        <v>43</v>
      </c>
    </row>
    <row r="7" ht="15" customHeight="1" s="70">
      <c r="A7" s="86" t="inlineStr">
        <is>
          <t>Decreased / unclear (residual)</t>
        </is>
      </c>
      <c r="B7" s="87" t="n">
        <v>17</v>
      </c>
    </row>
    <row r="9" ht="15" customHeight="1" s="70">
      <c r="A9" s="85" t="inlineStr">
        <is>
          <t>Chart data — profitability impact distribution</t>
        </is>
      </c>
    </row>
    <row r="10" ht="15" customHeight="1" s="70">
      <c r="A10" s="79" t="inlineStr">
        <is>
          <t>Outcome</t>
        </is>
      </c>
      <c r="B10" s="79" t="inlineStr">
        <is>
          <t>% of firms</t>
        </is>
      </c>
    </row>
    <row r="11" ht="15" customHeight="1" s="70">
      <c r="A11" s="86" t="inlineStr">
        <is>
          <t>Increased / significantly increased</t>
        </is>
      </c>
      <c r="B11" s="87" t="n">
        <v>40</v>
      </c>
    </row>
    <row r="12" ht="15" customHeight="1" s="70">
      <c r="A12" s="88" t="inlineStr">
        <is>
          <t>No change</t>
        </is>
      </c>
      <c r="B12" s="89" t="n">
        <v>43</v>
      </c>
    </row>
    <row r="13" ht="15" customHeight="1" s="70">
      <c r="A13" s="86" t="inlineStr">
        <is>
          <t>Decreased / unclear</t>
        </is>
      </c>
      <c r="B13" s="87" t="n">
        <v>17</v>
      </c>
    </row>
    <row r="14" ht="60" customHeight="1" s="70">
      <c r="A14" s="90" t="inlineStr">
        <is>
          <t>Insight  |  60% of FinServ firms see no profitability lift (or worse). Even in the sector closest to clean AI ROI, the majority don't capture it at the bottom line. This is the strongest single data point against universal 10x AI pricing — and the strongest in favour of band-based pricing tied to demonstrable lift.</t>
        </is>
      </c>
    </row>
    <row r="15" ht="30" customHeight="1" s="70">
      <c r="A15" s="77" t="inlineStr">
        <is>
          <t>Source  |  Statista 1661254 — AI profitability impact 2026  —  https://www.statista.com/statistics/1661254/ai-impact-on-profitability-in-finance-worldwide/</t>
        </is>
      </c>
    </row>
  </sheetData>
  <mergeCells count="4">
    <mergeCell ref="A1:H1"/>
    <mergeCell ref="A2:H2"/>
    <mergeCell ref="A14:H14"/>
    <mergeCell ref="A15:H15"/>
  </mergeCells>
  <hyperlinks>
    <hyperlink xmlns:r="http://schemas.openxmlformats.org/officeDocument/2006/relationships" ref="A15" display="Source  |  Statista 1661254 — AI profitability impact 2026  —  https://www.statista.com/statistics/1661254/ai-impact-on-profitability-in-finance-worldwide/"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
</worksheet>
</file>

<file path=xl/worksheets/sheet24.xml><?xml version="1.0" encoding="utf-8"?>
<worksheet xmlns="http://schemas.openxmlformats.org/spreadsheetml/2006/main">
  <sheetPr filterMode="0">
    <outlinePr summaryBelow="1" summaryRight="1"/>
    <pageSetUpPr fitToPage="0"/>
  </sheetPr>
  <dimension ref="A1:H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ST05  |  Fintech firms capture AI profitability lift at 56%, vs 34% for traditional FinServ — Statista 2026</t>
        </is>
      </c>
    </row>
    <row r="2" ht="21.75" customHeight="1" s="70">
      <c r="A2" s="84" t="inlineStr">
        <is>
          <t>Which characteristics separate firms that capture AI value from those that don't?</t>
        </is>
      </c>
    </row>
    <row r="4" ht="45.75" customHeight="1" s="70">
      <c r="A4" s="79" t="inlineStr">
        <is>
          <t>Firm characteristic</t>
        </is>
      </c>
      <c r="B4" s="79" t="inlineStr">
        <is>
          <t>% reporting positive profitability impact</t>
        </is>
      </c>
    </row>
    <row r="5" ht="15" customHeight="1" s="70">
      <c r="A5" s="86" t="inlineStr">
        <is>
          <t>Fintech firms</t>
        </is>
      </c>
      <c r="B5" s="87" t="n">
        <v>56</v>
      </c>
    </row>
    <row r="6" ht="15" customHeight="1" s="70">
      <c r="A6" s="88" t="inlineStr">
        <is>
          <t>Traditional financial institutions</t>
        </is>
      </c>
      <c r="B6" s="89" t="n">
        <v>34</v>
      </c>
    </row>
    <row r="8" ht="15" customHeight="1" s="70">
      <c r="A8" s="85" t="inlineStr">
        <is>
          <t>Chart data — positive profitability impact, by firm type</t>
        </is>
      </c>
    </row>
    <row r="9" ht="23.25" customHeight="1" s="70">
      <c r="A9" s="79" t="inlineStr">
        <is>
          <t>Firm type</t>
        </is>
      </c>
      <c r="B9" s="79" t="inlineStr">
        <is>
          <t>% positive impact</t>
        </is>
      </c>
    </row>
    <row r="10" ht="15" customHeight="1" s="70">
      <c r="A10" s="86" t="inlineStr">
        <is>
          <t>Fintech</t>
        </is>
      </c>
      <c r="B10" s="87" t="n">
        <v>56</v>
      </c>
    </row>
    <row r="11" ht="15" customHeight="1" s="70">
      <c r="A11" s="88" t="inlineStr">
        <is>
          <t>Traditional FI</t>
        </is>
      </c>
      <c r="B11" s="89" t="n">
        <v>34</v>
      </c>
    </row>
    <row r="12" ht="60" customHeight="1" s="70">
      <c r="A12" s="90" t="inlineStr">
        <is>
          <t>Insight  |  The 22pp gap (56% fintech vs 34% traditional) is the empirical proof of the 'AI-native vs retrofit' divide in the LinkedIn post hypothesis. Native AI firms capture value at 1.6x the rate of incumbents trying to bolt AI onto legacy systems — the same dynamic that broke Salesforce's customer support strategy.</t>
        </is>
      </c>
    </row>
    <row r="13" ht="30" customHeight="1" s="70">
      <c r="A13" s="77" t="inlineStr">
        <is>
          <t>Source  |  Statista 1661255 — AI profitability by characteristics 2026  —  https://www.statista.com/statistics/1661255/ai-impact-on-profitability-in-finance-worldwide-by-characteristics/</t>
        </is>
      </c>
    </row>
  </sheetData>
  <mergeCells count="4">
    <mergeCell ref="A12:H12"/>
    <mergeCell ref="A13:H13"/>
    <mergeCell ref="A2:H2"/>
    <mergeCell ref="A1:H1"/>
  </mergeCells>
  <hyperlinks>
    <hyperlink xmlns:r="http://schemas.openxmlformats.org/officeDocument/2006/relationships" ref="A13" display="Source  |  Statista 1661255 — AI profitability by characteristics 2026  —  https://www.statista.com/statistics/1661255/ai-impact-on-profitability-in-finance-worldwide-by-characteristics/"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
</worksheet>
</file>

<file path=xl/worksheets/sheet25.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ST06  |  44% of FinServ firms report minimal AI workforce impact in last 3 years — workforce reduction is the exception, not the rule — Statista 2026</t>
        </is>
      </c>
    </row>
    <row r="2" ht="21.75" customHeight="1" s="70">
      <c r="A2" s="84" t="inlineStr">
        <is>
          <t>How much has AI actually displaced workforce in financial services to date?</t>
        </is>
      </c>
    </row>
    <row r="4" ht="15" customHeight="1" s="70">
      <c r="A4" s="79" t="inlineStr">
        <is>
          <t>Outcome over last 3 years</t>
        </is>
      </c>
      <c r="B4" s="79" t="inlineStr">
        <is>
          <t>% of firms</t>
        </is>
      </c>
    </row>
    <row r="5" ht="15" customHeight="1" s="70">
      <c r="A5" s="86" t="inlineStr">
        <is>
          <t>Minimal workforce impact</t>
        </is>
      </c>
      <c r="B5" s="87" t="n">
        <v>44</v>
      </c>
    </row>
    <row r="6" ht="15" customHeight="1" s="70">
      <c r="A6" s="88" t="inlineStr">
        <is>
          <t>Unsure</t>
        </is>
      </c>
      <c r="B6" s="89" t="n">
        <v>30</v>
      </c>
    </row>
    <row r="7" ht="15" customHeight="1" s="70">
      <c r="A7" s="86" t="inlineStr">
        <is>
          <t>Significant impact (residual)</t>
        </is>
      </c>
      <c r="B7" s="87" t="n">
        <v>26</v>
      </c>
    </row>
    <row r="9" ht="15" customHeight="1" s="70">
      <c r="A9" s="85" t="inlineStr">
        <is>
          <t>Chart data — AI job impact distribution, last 3 years</t>
        </is>
      </c>
    </row>
    <row r="10" ht="15" customHeight="1" s="70">
      <c r="A10" s="79" t="inlineStr">
        <is>
          <t>Outcome</t>
        </is>
      </c>
      <c r="B10" s="79" t="inlineStr">
        <is>
          <t>% of firms</t>
        </is>
      </c>
    </row>
    <row r="11" ht="15" customHeight="1" s="70">
      <c r="A11" s="86" t="inlineStr">
        <is>
          <t>Minimal</t>
        </is>
      </c>
      <c r="B11" s="87" t="n">
        <v>44</v>
      </c>
    </row>
    <row r="12" ht="15" customHeight="1" s="70">
      <c r="A12" s="88" t="inlineStr">
        <is>
          <t>Unsure</t>
        </is>
      </c>
      <c r="B12" s="89" t="n">
        <v>30</v>
      </c>
    </row>
    <row r="13" ht="15" customHeight="1" s="70">
      <c r="A13" s="86" t="inlineStr">
        <is>
          <t>Significant</t>
        </is>
      </c>
      <c r="B13" s="87" t="n">
        <v>26</v>
      </c>
    </row>
    <row r="14" ht="60" customHeight="1" s="70">
      <c r="A14" s="90" t="inlineStr">
        <is>
          <t>Insight  |  Three in four FinServ firms report minimal or uncertain workforce impact from AI. This is the strongest empirical refutation of the 'AI will eliminate the workforce' frame. Salesforce's 9,000→5,000 cut is at the extreme tail (the 26% 'significant impact' band) — and is now reversing. Use this number as the lead defence against headcount-replacement pricing narratives.</t>
        </is>
      </c>
    </row>
    <row r="15" ht="30" customHeight="1" s="70">
      <c r="A15" s="77" t="inlineStr">
        <is>
          <t>Source  |  Statista 1661260 — AI job impact 2026  —  https://www.statista.com/statistics/1661260/ai-impact-on-workforce-in-last-three-years-finance-worldwide/</t>
        </is>
      </c>
    </row>
  </sheetData>
  <mergeCells count="4">
    <mergeCell ref="A1:H1"/>
    <mergeCell ref="A2:H2"/>
    <mergeCell ref="A14:H14"/>
    <mergeCell ref="A15:H15"/>
  </mergeCells>
  <hyperlinks>
    <hyperlink xmlns:r="http://schemas.openxmlformats.org/officeDocument/2006/relationships" ref="A15" display="Source  |  Statista 1661260 — AI job impact 2026  —  https://www.statista.com/statistics/1661260/ai-impact-on-workforce-in-last-three-years-finance-worldwide/"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
</worksheet>
</file>

<file path=xl/worksheets/sheet26.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ST07  |  Generative AI value concentrates in front-office — 38.4% of total potential value sits in front-office roles — Statista 2025</t>
        </is>
      </c>
    </row>
    <row r="2" ht="21.75" customHeight="1" s="70">
      <c r="A2" s="84" t="inlineStr">
        <is>
          <t>Where does GenAI's time-saving value cluster across functions?</t>
        </is>
      </c>
    </row>
    <row r="4" ht="23.25" customHeight="1" s="70">
      <c r="A4" s="79" t="inlineStr">
        <is>
          <t>Function / area</t>
        </is>
      </c>
      <c r="B4" s="79" t="inlineStr">
        <is>
          <t>Share of GenAI value</t>
        </is>
      </c>
      <c r="C4" s="79" t="inlineStr">
        <is>
          <t>Note</t>
        </is>
      </c>
    </row>
    <row r="5" ht="34.5" customHeight="1" s="70">
      <c r="A5" s="86" t="inlineStr">
        <is>
          <t>Front-office roles</t>
        </is>
      </c>
      <c r="B5" s="87" t="inlineStr">
        <is>
          <t>~38.4% of total potential GenAI value</t>
        </is>
      </c>
      <c r="C5" s="87" t="inlineStr">
        <is>
          <t>Customer-facing</t>
        </is>
      </c>
    </row>
    <row r="6" ht="15" customHeight="1" s="70">
      <c r="A6" s="88" t="inlineStr">
        <is>
          <t>IT</t>
        </is>
      </c>
      <c r="B6" s="89" t="inlineStr">
        <is>
          <t>Significant</t>
        </is>
      </c>
      <c r="C6" s="89" t="inlineStr">
        <is>
          <t>Per source</t>
        </is>
      </c>
    </row>
    <row r="7" ht="15" customHeight="1" s="70">
      <c r="A7" s="86" t="inlineStr">
        <is>
          <t>Sales</t>
        </is>
      </c>
      <c r="B7" s="87" t="inlineStr">
        <is>
          <t>Significant</t>
        </is>
      </c>
      <c r="C7" s="87" t="inlineStr">
        <is>
          <t>Per source</t>
        </is>
      </c>
    </row>
    <row r="8" ht="15" customHeight="1" s="70">
      <c r="A8" s="88" t="inlineStr">
        <is>
          <t>Supply chain operations</t>
        </is>
      </c>
      <c r="B8" s="89" t="inlineStr">
        <is>
          <t>Significant</t>
        </is>
      </c>
      <c r="C8" s="89" t="inlineStr">
        <is>
          <t>Per source</t>
        </is>
      </c>
    </row>
    <row r="9" ht="23.25" customHeight="1" s="70">
      <c r="A9" s="86" t="inlineStr">
        <is>
          <t>Other functions (residual)</t>
        </is>
      </c>
      <c r="B9" s="87" t="inlineStr">
        <is>
          <t>~62% spread across all others</t>
        </is>
      </c>
      <c r="C9" s="87" t="n"/>
    </row>
    <row r="11" ht="15" customHeight="1" s="70">
      <c r="A11" s="85" t="inlineStr">
        <is>
          <t>Chart data — share of total GenAI value by function</t>
        </is>
      </c>
    </row>
    <row r="12" ht="15" customHeight="1" s="70">
      <c r="A12" s="79" t="inlineStr">
        <is>
          <t>Function bloc</t>
        </is>
      </c>
      <c r="B12" s="79" t="inlineStr">
        <is>
          <t>Share %</t>
        </is>
      </c>
    </row>
    <row r="13" ht="15" customHeight="1" s="70">
      <c r="A13" s="86" t="inlineStr">
        <is>
          <t>Front-office</t>
        </is>
      </c>
      <c r="B13" s="87" t="n">
        <v>38.4</v>
      </c>
    </row>
    <row r="14" ht="15" customHeight="1" s="70">
      <c r="A14" s="88" t="inlineStr">
        <is>
          <t>Other functions combined</t>
        </is>
      </c>
      <c r="B14" s="89" t="n">
        <v>61.6</v>
      </c>
    </row>
    <row r="15" ht="60" customHeight="1" s="70">
      <c r="A15" s="90" t="inlineStr">
        <is>
          <t>Insight  |  Statista's 38.4% front-office concentration largely confirms McKinsey's earlier finding that customer ops + marketing/sales + software eng + R&amp;D capture 75% of GenAI value. Pricing implication: front-office AI products should price highest in revenue-attributable use cases (sales conversion, customer expansion) — not in generic productivity uplift.</t>
        </is>
      </c>
    </row>
    <row r="16" ht="30" customHeight="1" s="70">
      <c r="A16" s="77" t="inlineStr">
        <is>
          <t>Source  |  Statista 1610445 — GenAI time savings by function 2025  —  https://www.statista.com/statistics/1610445/functional-impact-of-generative-ai-worldwide/</t>
        </is>
      </c>
    </row>
  </sheetData>
  <mergeCells count="4">
    <mergeCell ref="A1:H1"/>
    <mergeCell ref="A2:H2"/>
    <mergeCell ref="A16:H16"/>
    <mergeCell ref="A15:H15"/>
  </mergeCells>
  <hyperlinks>
    <hyperlink xmlns:r="http://schemas.openxmlformats.org/officeDocument/2006/relationships" ref="A16" display="Source  |  Statista 1610445 — GenAI time savings by function 2025  —  https://www.statista.com/statistics/1610445/functional-impact-of-generative-ai-worldwide/"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
</worksheet>
</file>

<file path=xl/worksheets/sheet27.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ST08  |  Buyers prefer consumption pricing (55%) for agentic AI; outcome-based at only 17% — Statista 2025</t>
        </is>
      </c>
    </row>
    <row r="2" ht="21.75" customHeight="1" s="70">
      <c r="A2" s="84" t="inlineStr">
        <is>
          <t>What pricing models do enterprise buyers actually want for agentic AI today?</t>
        </is>
      </c>
    </row>
    <row r="4" ht="34.5" customHeight="1" s="70">
      <c r="A4" s="79" t="inlineStr">
        <is>
          <t>Pricing model</t>
        </is>
      </c>
      <c r="B4" s="79" t="inlineStr">
        <is>
          <t>% of organisations preferring</t>
        </is>
      </c>
    </row>
    <row r="5" ht="15" customHeight="1" s="70">
      <c r="A5" s="86" t="inlineStr">
        <is>
          <t>Consumption-based pricing</t>
        </is>
      </c>
      <c r="B5" s="87" t="n">
        <v>55</v>
      </c>
    </row>
    <row r="6" ht="15" customHeight="1" s="70">
      <c r="A6" s="88" t="inlineStr">
        <is>
          <t>Platform-based pricing</t>
        </is>
      </c>
      <c r="B6" s="89" t="n">
        <v>43</v>
      </c>
    </row>
    <row r="7" ht="15" customHeight="1" s="70">
      <c r="A7" s="86" t="inlineStr">
        <is>
          <t>License-based pricing</t>
        </is>
      </c>
      <c r="B7" s="87" t="n">
        <v>37</v>
      </c>
    </row>
    <row r="8" ht="15" customHeight="1" s="70">
      <c r="A8" s="88" t="inlineStr">
        <is>
          <t>Tier-based pricing</t>
        </is>
      </c>
      <c r="B8" s="89" t="n">
        <v>33</v>
      </c>
    </row>
    <row r="9" ht="15" customHeight="1" s="70">
      <c r="A9" s="86" t="inlineStr">
        <is>
          <t>Outcome-based pricing</t>
        </is>
      </c>
      <c r="B9" s="87" t="n">
        <v>17</v>
      </c>
    </row>
    <row r="11" ht="15" customHeight="1" s="70">
      <c r="A11" s="85" t="inlineStr">
        <is>
          <t>Chart data — preferred pricing models (multi-select)</t>
        </is>
      </c>
    </row>
    <row r="12" ht="15" customHeight="1" s="70">
      <c r="A12" s="79" t="inlineStr">
        <is>
          <t>Model</t>
        </is>
      </c>
      <c r="B12" s="79" t="inlineStr">
        <is>
          <t>% preferring</t>
        </is>
      </c>
    </row>
    <row r="13" ht="15" customHeight="1" s="70">
      <c r="A13" s="86" t="inlineStr">
        <is>
          <t>Consumption-based</t>
        </is>
      </c>
      <c r="B13" s="87" t="n">
        <v>55</v>
      </c>
    </row>
    <row r="14" ht="15" customHeight="1" s="70">
      <c r="A14" s="88" t="inlineStr">
        <is>
          <t>Platform-based</t>
        </is>
      </c>
      <c r="B14" s="89" t="n">
        <v>43</v>
      </c>
    </row>
    <row r="15" ht="15" customHeight="1" s="70">
      <c r="A15" s="86" t="inlineStr">
        <is>
          <t>License-based</t>
        </is>
      </c>
      <c r="B15" s="87" t="n">
        <v>37</v>
      </c>
    </row>
    <row r="16" ht="15" customHeight="1" s="70">
      <c r="A16" s="88" t="inlineStr">
        <is>
          <t>Tier-based</t>
        </is>
      </c>
      <c r="B16" s="89" t="n">
        <v>33</v>
      </c>
    </row>
    <row r="17" ht="15" customHeight="1" s="70">
      <c r="A17" s="86" t="inlineStr">
        <is>
          <t>Outcome-based</t>
        </is>
      </c>
      <c r="B17" s="87" t="n">
        <v>17</v>
      </c>
    </row>
    <row r="18" ht="60" customHeight="1" s="70">
      <c r="A18" s="90" t="inlineStr">
        <is>
          <t>Insight  |  CRITICAL data point — directly contradicts vendor narratives that 'outcome-based is the future'. Buyers prefer consumption (55%) by 3x over outcome (17%). This is because outcome attribution is hard and buyers want predictability. Pricing implication: lead with consumption / hybrid; outcome is a premium tier for confident buyers, not the default model. Compare to V05 sheet.</t>
        </is>
      </c>
    </row>
    <row r="19" ht="30" customHeight="1" s="70">
      <c r="A19" s="77" t="inlineStr">
        <is>
          <t>Source  |  Statista 1620734 — Preferred pricing models for agentic AI 2025  —  https://www.statista.com/statistics/1620734/adoption-of-pricing-models-for-agentic-ai-tools/</t>
        </is>
      </c>
    </row>
  </sheetData>
  <mergeCells count="4">
    <mergeCell ref="A18:H18"/>
    <mergeCell ref="A19:H19"/>
    <mergeCell ref="A2:H2"/>
    <mergeCell ref="A1:H1"/>
  </mergeCells>
  <hyperlinks>
    <hyperlink xmlns:r="http://schemas.openxmlformats.org/officeDocument/2006/relationships" ref="A19" display="Source  |  Statista 1620734 — Preferred pricing models for agentic AI 2025  —  https://www.statista.com/statistics/1620734/adoption-of-pricing-models-for-agentic-ai-tools/"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
</worksheet>
</file>

<file path=xl/worksheets/sheet28.xml><?xml version="1.0" encoding="utf-8"?>
<worksheet xmlns="http://schemas.openxmlformats.org/spreadsheetml/2006/main">
  <sheetPr filterMode="0">
    <outlinePr summaryBelow="1" summaryRight="1"/>
    <pageSetUpPr fitToPage="0"/>
  </sheetPr>
  <dimension ref="A1:H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ST09  |  44% expect hourly-rates billing to shrink in 5 years due to AI — outcome pricing rises but doesn't replace</t>
        </is>
      </c>
    </row>
    <row r="2" ht="21.75" customHeight="1" s="70">
      <c r="A2" s="84" t="inlineStr">
        <is>
          <t>How will AI reshape professional services billing models?</t>
        </is>
      </c>
    </row>
    <row r="4" ht="23.25" customHeight="1" s="70">
      <c r="A4" s="79" t="inlineStr">
        <is>
          <t>Outlook</t>
        </is>
      </c>
      <c r="B4" s="79" t="inlineStr">
        <is>
          <t>% of respondents</t>
        </is>
      </c>
      <c r="C4" s="79" t="inlineStr">
        <is>
          <t>Period</t>
        </is>
      </c>
    </row>
    <row r="5" ht="15" customHeight="1" s="70">
      <c r="A5" s="86" t="inlineStr">
        <is>
          <t>Expect smaller share via hourly rates</t>
        </is>
      </c>
      <c r="B5" s="87" t="n">
        <v>44</v>
      </c>
      <c r="C5" s="87" t="inlineStr">
        <is>
          <t>5-year outlook</t>
        </is>
      </c>
    </row>
    <row r="6" ht="15" customHeight="1" s="70">
      <c r="A6" s="88" t="inlineStr">
        <is>
          <t>Expect same or greater (residual)</t>
        </is>
      </c>
      <c r="B6" s="89" t="n">
        <v>56</v>
      </c>
      <c r="C6" s="89" t="inlineStr">
        <is>
          <t>Implied</t>
        </is>
      </c>
    </row>
    <row r="8" ht="15" customHeight="1" s="70">
      <c r="A8" s="85" t="inlineStr">
        <is>
          <t>Chart data — hourly rates expectation</t>
        </is>
      </c>
    </row>
    <row r="9" ht="15" customHeight="1" s="70">
      <c r="A9" s="79" t="inlineStr">
        <is>
          <t>Outlook</t>
        </is>
      </c>
      <c r="B9" s="79" t="inlineStr">
        <is>
          <t>% respondents</t>
        </is>
      </c>
    </row>
    <row r="10" ht="15" customHeight="1" s="70">
      <c r="A10" s="86" t="inlineStr">
        <is>
          <t>Hourly billing shrinks</t>
        </is>
      </c>
      <c r="B10" s="87" t="n">
        <v>44</v>
      </c>
    </row>
    <row r="11" ht="15" customHeight="1" s="70">
      <c r="A11" s="88" t="inlineStr">
        <is>
          <t>Stays / grows</t>
        </is>
      </c>
      <c r="B11" s="89" t="n">
        <v>56</v>
      </c>
    </row>
    <row r="12" ht="60" customHeight="1" s="70">
      <c r="A12" s="90" t="inlineStr">
        <is>
          <t>Insight  |  Even with AI, MAJORITY of respondents (56%) expect hourly billing to stay or grow over 5 years. Pricing model transition is real but slow. For professional services and consultancies — like Valueships' own work — the implication is that hourly will remain a meaningful billing mode through 2030, with outcome/value-based pricing layered on top as a premium option, not as a replacement.</t>
        </is>
      </c>
    </row>
    <row r="13" ht="30" customHeight="1" s="70">
      <c r="A13" s="77" t="inlineStr">
        <is>
          <t>Source  |  Statista 1482387 — Hourly rates pricing outlook  —  https://www.statista.com/statistics/1482387/ai-impact-on-hourly-rates-based-pricing-global/</t>
        </is>
      </c>
    </row>
  </sheetData>
  <mergeCells count="4">
    <mergeCell ref="A12:H12"/>
    <mergeCell ref="A13:H13"/>
    <mergeCell ref="A2:H2"/>
    <mergeCell ref="A1:H1"/>
  </mergeCells>
  <hyperlinks>
    <hyperlink xmlns:r="http://schemas.openxmlformats.org/officeDocument/2006/relationships" ref="A13" display="Source  |  Statista 1482387 — Hourly rates pricing outlook  —  https://www.statista.com/statistics/1482387/ai-impact-on-hourly-rates-based-pricing-global/"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
</worksheet>
</file>

<file path=xl/worksheets/sheet29.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ST10  |  US labour productivity uplift from AI — 1.5% baseline, up to 2.9% in advanced scenarios — Statista projection</t>
        </is>
      </c>
    </row>
    <row r="2" ht="21.75" customHeight="1" s="70">
      <c r="A2" s="84" t="inlineStr">
        <is>
          <t>What does macroeconomic modelling project for AI productivity growth?</t>
        </is>
      </c>
    </row>
    <row r="4" ht="34.5" customHeight="1" s="70">
      <c r="A4" s="79" t="inlineStr">
        <is>
          <t>Scenario</t>
        </is>
      </c>
      <c r="B4" s="79" t="inlineStr">
        <is>
          <t>Annual labour productivity growth</t>
        </is>
      </c>
      <c r="C4" s="79" t="inlineStr">
        <is>
          <t>Note</t>
        </is>
      </c>
    </row>
    <row r="5" ht="45.75" customHeight="1" s="70">
      <c r="A5" s="86" t="inlineStr">
        <is>
          <t>Baseline AI capabilities scenario</t>
        </is>
      </c>
      <c r="B5" s="87" t="inlineStr">
        <is>
          <t>+1.5% / yr labour productivity growth</t>
        </is>
      </c>
      <c r="C5" s="87" t="inlineStr">
        <is>
          <t>Standard adoption</t>
        </is>
      </c>
    </row>
    <row r="6" ht="45.75" customHeight="1" s="70">
      <c r="A6" s="88" t="inlineStr">
        <is>
          <t>More powerful AI capabilities scenario</t>
        </is>
      </c>
      <c r="B6" s="89" t="inlineStr">
        <is>
          <t>+2.9% / yr labour productivity growth</t>
        </is>
      </c>
      <c r="C6" s="89" t="inlineStr">
        <is>
          <t>Higher capability</t>
        </is>
      </c>
    </row>
    <row r="7" ht="23.25" customHeight="1" s="70">
      <c r="A7" s="86" t="inlineStr">
        <is>
          <t>Pre-AI baseline (recent decade)</t>
        </is>
      </c>
      <c r="B7" s="87" t="inlineStr">
        <is>
          <t>~1.4% / yr (US BLS)</t>
        </is>
      </c>
      <c r="C7" s="87" t="inlineStr">
        <is>
          <t>Reference</t>
        </is>
      </c>
    </row>
    <row r="9" ht="15" customHeight="1" s="70">
      <c r="A9" s="85" t="inlineStr">
        <is>
          <t>Chart data — US labour productivity growth scenarios (pp)</t>
        </is>
      </c>
    </row>
    <row r="10" ht="15" customHeight="1" s="70">
      <c r="A10" s="79" t="inlineStr">
        <is>
          <t>Scenario</t>
        </is>
      </c>
      <c r="B10" s="79" t="inlineStr">
        <is>
          <t>% / yr</t>
        </is>
      </c>
    </row>
    <row r="11" ht="15" customHeight="1" s="70">
      <c r="A11" s="86" t="inlineStr">
        <is>
          <t>Baseline AI scenario</t>
        </is>
      </c>
      <c r="B11" s="87" t="n">
        <v>1.5</v>
      </c>
    </row>
    <row r="12" ht="15" customHeight="1" s="70">
      <c r="A12" s="88" t="inlineStr">
        <is>
          <t>Powerful AI scenario</t>
        </is>
      </c>
      <c r="B12" s="89" t="n">
        <v>2.9</v>
      </c>
    </row>
    <row r="13" ht="15" customHeight="1" s="70">
      <c r="A13" s="86" t="inlineStr">
        <is>
          <t>Pre-AI decade baseline</t>
        </is>
      </c>
      <c r="B13" s="87" t="n">
        <v>1.4</v>
      </c>
    </row>
    <row r="14" ht="60" customHeight="1" s="70">
      <c r="A14" s="90" t="inlineStr">
        <is>
          <t>Insight  |  Statista's macro projection range (1.5% to 2.9%) is in line with M03 (Goldman 1.5pp, McKinsey 0.1–0.6%, Acemoglu &lt;0.05%/yr). At the BULL end (2.9%), this is 2x the pre-AI baseline — meaningful but NOT order-of-magnitude. The math of 10x productivity does not work at the macro level under any credible scenario.</t>
        </is>
      </c>
    </row>
    <row r="15" ht="30" customHeight="1" s="70">
      <c r="A15" s="77" t="inlineStr">
        <is>
          <t>Source  |  Statista 1378626 — US labor productivity by AI capability  —  https://www.statista.com/statistics/1378626/growth-of-labor-productivity-ai-adoption-2023/</t>
        </is>
      </c>
    </row>
  </sheetData>
  <mergeCells count="4">
    <mergeCell ref="A1:H1"/>
    <mergeCell ref="A2:H2"/>
    <mergeCell ref="A14:H14"/>
    <mergeCell ref="A15:H15"/>
  </mergeCells>
  <hyperlinks>
    <hyperlink xmlns:r="http://schemas.openxmlformats.org/officeDocument/2006/relationships" ref="A15" display="Source  |  Statista 1378626 — US labor productivity by AI capability  —  https://www.statista.com/statistics/1378626/growth-of-labor-productivity-ai-adoption-2023/"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
</worksheet>
</file>

<file path=xl/worksheets/sheet30.xml><?xml version="1.0" encoding="utf-8"?>
<worksheet xmlns="http://schemas.openxmlformats.org/spreadsheetml/2006/main">
  <sheetPr filterMode="0">
    <outlinePr summaryBelow="1" summaryRight="1"/>
    <pageSetUpPr fitToPage="0"/>
  </sheetPr>
  <dimension ref="A1:H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69" min="1" max="1"/>
    <col width="14" customWidth="1" style="69" min="2" max="8"/>
  </cols>
  <sheetData>
    <row r="1" ht="31.5" customHeight="1" s="70">
      <c r="A1" s="78" t="inlineStr">
        <is>
          <t>ST11  |  GenAI value concentration by industry × function — front office 38% in FinServ, supply chain 33% in manufacturing — Statista 2025</t>
        </is>
      </c>
    </row>
    <row r="2" ht="21.75" customHeight="1" s="70">
      <c r="A2" s="84" t="inlineStr">
        <is>
          <t>Where does GenAI value cluster across industries AND business functions?</t>
        </is>
      </c>
    </row>
    <row r="4" ht="15" customHeight="1" s="70">
      <c r="A4" s="79" t="inlineStr">
        <is>
          <t>Industry / Function</t>
        </is>
      </c>
      <c r="B4" s="79" t="inlineStr">
        <is>
          <t>Finance</t>
        </is>
      </c>
      <c r="C4" s="79" t="inlineStr">
        <is>
          <t>Front Office</t>
        </is>
      </c>
      <c r="D4" s="79" t="inlineStr">
        <is>
          <t>IT</t>
        </is>
      </c>
      <c r="E4" s="79" t="inlineStr">
        <is>
          <t>Sales</t>
        </is>
      </c>
      <c r="F4" s="79" t="inlineStr">
        <is>
          <t>Supply Chain</t>
        </is>
      </c>
    </row>
    <row r="5" ht="15" customHeight="1" s="70">
      <c r="A5" s="80" t="inlineStr">
        <is>
          <t>Healthcare &amp; Life Sciences</t>
        </is>
      </c>
      <c r="B5" s="135" t="n">
        <v>0</v>
      </c>
      <c r="C5" s="136" t="n">
        <v>33.5</v>
      </c>
      <c r="D5" s="137" t="n">
        <v>6.4</v>
      </c>
      <c r="E5" s="138" t="n">
        <v>17.3</v>
      </c>
      <c r="F5" s="139" t="n">
        <v>11</v>
      </c>
    </row>
    <row r="6" ht="15" customHeight="1" s="70">
      <c r="A6" s="80" t="inlineStr">
        <is>
          <t>Financial Services</t>
        </is>
      </c>
      <c r="B6" s="138" t="n">
        <v>16.1</v>
      </c>
      <c r="C6" s="136" t="n">
        <v>38.4</v>
      </c>
      <c r="D6" s="139" t="n">
        <v>11.4</v>
      </c>
      <c r="E6" s="139" t="n">
        <v>9.5</v>
      </c>
      <c r="F6" s="137" t="n">
        <v>7.6</v>
      </c>
    </row>
    <row r="7" ht="15" customHeight="1" s="70">
      <c r="A7" s="80" t="inlineStr">
        <is>
          <t>Industrial Manufacturing</t>
        </is>
      </c>
      <c r="B7" s="137" t="n">
        <v>6.9</v>
      </c>
      <c r="C7" s="139" t="n">
        <v>11.9</v>
      </c>
      <c r="D7" s="139" t="n">
        <v>14</v>
      </c>
      <c r="E7" s="138" t="n">
        <v>16.3</v>
      </c>
      <c r="F7" s="136" t="n">
        <v>32.8</v>
      </c>
    </row>
    <row r="8" ht="15" customHeight="1" s="70">
      <c r="A8" s="80" t="inlineStr">
        <is>
          <t>Technology, Media &amp; Telecom</t>
        </is>
      </c>
      <c r="B8" s="135" t="n">
        <v>0</v>
      </c>
      <c r="C8" s="139" t="n">
        <v>12.1</v>
      </c>
      <c r="D8" s="136" t="n">
        <v>29.6</v>
      </c>
      <c r="E8" s="138" t="n">
        <v>15.3</v>
      </c>
      <c r="F8" s="139" t="n">
        <v>9.9</v>
      </c>
    </row>
    <row r="9" ht="15" customHeight="1" s="70">
      <c r="A9" s="80" t="inlineStr">
        <is>
          <t>Consumer &amp; Retail</t>
        </is>
      </c>
      <c r="B9" s="135" t="n">
        <v>0</v>
      </c>
      <c r="C9" s="138" t="n">
        <v>18</v>
      </c>
      <c r="D9" s="139" t="n">
        <v>9.800000000000001</v>
      </c>
      <c r="E9" s="136" t="n">
        <v>30.5</v>
      </c>
      <c r="F9" s="139" t="n">
        <v>14.3</v>
      </c>
    </row>
    <row r="10" ht="15" customHeight="1" s="70">
      <c r="A10" s="80" t="inlineStr">
        <is>
          <t>Energy &amp; Chemicals</t>
        </is>
      </c>
      <c r="B10" s="139" t="n">
        <v>9.5</v>
      </c>
      <c r="C10" s="138" t="n">
        <v>21.7</v>
      </c>
      <c r="D10" s="139" t="n">
        <v>9.199999999999999</v>
      </c>
      <c r="E10" s="139" t="n">
        <v>11.2</v>
      </c>
      <c r="F10" s="136" t="n">
        <v>31.2</v>
      </c>
    </row>
    <row r="11" ht="15" customHeight="1" s="70">
      <c r="A11" s="80" t="inlineStr">
        <is>
          <t>Professional Services</t>
        </is>
      </c>
      <c r="B11" s="137" t="n">
        <v>7.6</v>
      </c>
      <c r="C11" s="136" t="n">
        <v>31</v>
      </c>
      <c r="D11" s="135" t="n">
        <v>0</v>
      </c>
      <c r="E11" s="138" t="n">
        <v>21.2</v>
      </c>
      <c r="F11" s="138" t="n">
        <v>18.1</v>
      </c>
    </row>
    <row r="13" ht="15" customHeight="1" s="70">
      <c r="A13" s="85" t="inlineStr">
        <is>
          <t>Notes &amp; legend</t>
        </is>
      </c>
    </row>
    <row r="14" ht="15" customHeight="1" s="70">
      <c r="A14" s="140" t="inlineStr">
        <is>
          <t>Dark green ≥25%</t>
        </is>
      </c>
      <c r="B14" s="86" t="inlineStr">
        <is>
          <t>High value concentration — primary AI target function in this industry</t>
        </is>
      </c>
      <c r="C14" s="103" t="n"/>
      <c r="D14" s="103" t="n"/>
      <c r="E14" s="103" t="n"/>
      <c r="F14" s="103" t="n"/>
      <c r="G14" s="103" t="n"/>
      <c r="H14" s="104" t="n"/>
    </row>
    <row r="15" ht="15" customHeight="1" s="70">
      <c r="A15" s="141" t="inlineStr">
        <is>
          <t>Light green 15–24%</t>
        </is>
      </c>
      <c r="B15" s="86" t="inlineStr">
        <is>
          <t>Material value concentration — strong secondary target</t>
        </is>
      </c>
      <c r="C15" s="103" t="n"/>
      <c r="D15" s="103" t="n"/>
      <c r="E15" s="103" t="n"/>
      <c r="F15" s="103" t="n"/>
      <c r="G15" s="103" t="n"/>
      <c r="H15" s="104" t="n"/>
    </row>
    <row r="16" ht="15" customHeight="1" s="70">
      <c r="A16" s="142" t="inlineStr">
        <is>
          <t>Yellow 8–14%</t>
        </is>
      </c>
      <c r="B16" s="86" t="inlineStr">
        <is>
          <t>Modest value share</t>
        </is>
      </c>
      <c r="C16" s="103" t="n"/>
      <c r="D16" s="103" t="n"/>
      <c r="E16" s="103" t="n"/>
      <c r="F16" s="103" t="n"/>
      <c r="G16" s="103" t="n"/>
      <c r="H16" s="104" t="n"/>
    </row>
    <row r="17" ht="15" customHeight="1" s="70">
      <c r="A17" s="143" t="inlineStr">
        <is>
          <t>Red &lt;8%</t>
        </is>
      </c>
      <c r="B17" s="86" t="inlineStr">
        <is>
          <t>Low value share</t>
        </is>
      </c>
      <c r="C17" s="103" t="n"/>
      <c r="D17" s="103" t="n"/>
      <c r="E17" s="103" t="n"/>
      <c r="F17" s="103" t="n"/>
      <c r="G17" s="103" t="n"/>
      <c r="H17" s="104" t="n"/>
    </row>
    <row r="18" ht="15" customHeight="1" s="70">
      <c r="A18" s="144" t="inlineStr">
        <is>
          <t>Grey 0%</t>
        </is>
      </c>
      <c r="B18" s="86" t="inlineStr">
        <is>
          <t>Negligible — function not addressable by GenAI in this industry context</t>
        </is>
      </c>
      <c r="C18" s="103" t="n"/>
      <c r="D18" s="103" t="n"/>
      <c r="E18" s="103" t="n"/>
      <c r="F18" s="103" t="n"/>
      <c r="G18" s="103" t="n"/>
      <c r="H18" s="104" t="n"/>
    </row>
    <row r="20" ht="15" customHeight="1" s="70">
      <c r="A20" s="145" t="inlineStr">
        <is>
          <t>Industry</t>
        </is>
      </c>
    </row>
    <row r="21" ht="57" customHeight="1" s="70">
      <c r="A21" s="80" t="inlineStr">
        <is>
          <t>Healthcare &amp; Life Sciences</t>
        </is>
      </c>
      <c r="B21" s="86" t="inlineStr">
        <is>
          <t>Front Office (33.5%)</t>
        </is>
      </c>
      <c r="C21" s="86" t="inlineStr">
        <is>
          <t>Customer/patient interactions, clinical knowledge work</t>
        </is>
      </c>
    </row>
    <row r="22" ht="57" customHeight="1" s="70">
      <c r="A22" s="81" t="inlineStr">
        <is>
          <t>Financial Services</t>
        </is>
      </c>
      <c r="B22" s="88" t="inlineStr">
        <is>
          <t>Front Office (38.4%)</t>
        </is>
      </c>
      <c r="C22" s="88" t="inlineStr">
        <is>
          <t>Advisory, customer service, sales/wealth management</t>
        </is>
      </c>
    </row>
    <row r="23" ht="34.5" customHeight="1" s="70">
      <c r="A23" s="80" t="inlineStr">
        <is>
          <t>Industrial Manufacturing</t>
        </is>
      </c>
      <c r="B23" s="86" t="inlineStr">
        <is>
          <t>Supply Chain (32.8%)</t>
        </is>
      </c>
      <c r="C23" s="86" t="inlineStr">
        <is>
          <t>Planning, forecasting, ops optimisation</t>
        </is>
      </c>
    </row>
    <row r="24" ht="34.5" customHeight="1" s="70">
      <c r="A24" s="81" t="inlineStr">
        <is>
          <t>Technology, Media &amp; Telecom</t>
        </is>
      </c>
      <c r="B24" s="88" t="inlineStr">
        <is>
          <t>IT (29.6%)</t>
        </is>
      </c>
      <c r="C24" s="88" t="inlineStr">
        <is>
          <t>Software development, infra operations</t>
        </is>
      </c>
    </row>
    <row r="25" ht="45.75" customHeight="1" s="70">
      <c r="A25" s="80" t="inlineStr">
        <is>
          <t>Consumer &amp; Retail</t>
        </is>
      </c>
      <c r="B25" s="86" t="inlineStr">
        <is>
          <t>Sales (30.5%)</t>
        </is>
      </c>
      <c r="C25" s="86" t="inlineStr">
        <is>
          <t>Personalisation, conversion, recommendations</t>
        </is>
      </c>
    </row>
    <row r="26" ht="45.75" customHeight="1" s="70">
      <c r="A26" s="81" t="inlineStr">
        <is>
          <t>Energy &amp; Chemicals</t>
        </is>
      </c>
      <c r="B26" s="88" t="inlineStr">
        <is>
          <t>Supply Chain (31.2%)</t>
        </is>
      </c>
      <c r="C26" s="88" t="inlineStr">
        <is>
          <t>Yield, scheduling, logistics, asset optimisation</t>
        </is>
      </c>
    </row>
    <row r="27" ht="45.75" customHeight="1" s="70">
      <c r="A27" s="80" t="inlineStr">
        <is>
          <t>Professional Services</t>
        </is>
      </c>
      <c r="B27" s="86" t="inlineStr">
        <is>
          <t>Front Office (31.0%)</t>
        </is>
      </c>
      <c r="C27" s="86" t="inlineStr">
        <is>
          <t>Client-facing knowledge work, deliverable production</t>
        </is>
      </c>
    </row>
    <row r="29" ht="79.5" customHeight="1" s="70">
      <c r="A29" s="90" t="inlineStr">
        <is>
          <t>Insight  |  The heatmap is decisive on where AI value sits and (crucially) where it does NOT sit. Healthcare's Finance function shows 0% AI value share — pricing AI for healthcare CFO products is fighting empty market. Conversely, Manufacturing/Energy Supply Chain (&gt;30%) and Retail Sales (30.5%) are where pricing power concentrates. For Valueships pricing diagnostics: match the SaaS pricing strategy to its sector's dominant function, NOT to a generic 'AI productivity' frame.</t>
        </is>
      </c>
    </row>
    <row r="30" ht="27.75" customHeight="1" s="70">
      <c r="A30" s="77" t="inlineStr">
        <is>
          <t>Source  |  Statista 1610445 — GenAI value by function/sector  —  https://www.statista.com/statistics/1610445/functional-impact-of-generative-ai-worldwide/</t>
        </is>
      </c>
    </row>
    <row r="31" ht="27.75" customHeight="1" s="70">
      <c r="A31" s="77" t="inlineStr">
        <is>
          <t>Source  |  Statista Research AI session  —  https://www.statista.com/research-ai/chat/019e1f8f-6f89-7813-9686-730f97cc93af</t>
        </is>
      </c>
    </row>
  </sheetData>
  <mergeCells count="10">
    <mergeCell ref="B14:H14"/>
    <mergeCell ref="A30:H30"/>
    <mergeCell ref="B17:H17"/>
    <mergeCell ref="A29:H29"/>
    <mergeCell ref="B18:H18"/>
    <mergeCell ref="A2:H2"/>
    <mergeCell ref="B16:H16"/>
    <mergeCell ref="B15:H15"/>
    <mergeCell ref="A1:H1"/>
    <mergeCell ref="A31:H31"/>
  </mergeCells>
  <hyperlinks>
    <hyperlink xmlns:r="http://schemas.openxmlformats.org/officeDocument/2006/relationships" ref="A30" display="Source  |  Statista 1610445 — GenAI value by function/sector  —  https://www.statista.com/statistics/1610445/functional-impact-of-generative-ai-worldwide/" r:id="rId1"/>
    <hyperlink xmlns:r="http://schemas.openxmlformats.org/officeDocument/2006/relationships" ref="A31" display="Source  |  Statista Research AI session  —  https://www.statista.com/research-ai/chat/019e1f8f-6f89-7813-9686-730f97cc93af"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J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6" customWidth="1" style="69" min="1" max="1"/>
    <col width="16" customWidth="1" style="69" min="2" max="2"/>
    <col width="14" customWidth="1" style="69" min="3" max="8"/>
  </cols>
  <sheetData>
    <row r="1" ht="31.5" customHeight="1" s="70">
      <c r="A1" s="78" t="inlineStr">
        <is>
          <t>ST12  |  Capital markets has the highest GenAI hours-impacted share in FinServ — Statista 1558899 / Accenture, 2024</t>
        </is>
      </c>
    </row>
    <row r="2" ht="21.75" customHeight="1" s="70">
      <c r="A2" s="84" t="inlineStr">
        <is>
          <t>Within financial services, which subsector has the highest share of working hours impacted by GenAI?</t>
        </is>
      </c>
    </row>
    <row r="4" ht="23.25" customHeight="1" s="70">
      <c r="A4" s="79" t="inlineStr">
        <is>
          <t>FinServ subsector</t>
        </is>
      </c>
      <c r="B4" s="79" t="inlineStr">
        <is>
          <t>% of working hours impacted</t>
        </is>
      </c>
      <c r="C4" s="79" t="inlineStr">
        <is>
          <t>Position</t>
        </is>
      </c>
      <c r="D4" s="79" t="inlineStr">
        <is>
          <t>Note</t>
        </is>
      </c>
    </row>
    <row r="5" ht="34.5" customHeight="1" s="70">
      <c r="A5" s="86" t="inlineStr">
        <is>
          <t>Capital markets</t>
        </is>
      </c>
      <c r="B5" s="87" t="n">
        <v>72</v>
      </c>
      <c r="C5" s="87" t="inlineStr">
        <is>
          <t>Highest of FinServ subsectors</t>
        </is>
      </c>
      <c r="D5" s="87" t="inlineStr">
        <is>
          <t>Augmentation + automation combined</t>
        </is>
      </c>
    </row>
    <row r="6" ht="23.25" customHeight="1" s="70">
      <c r="A6" s="86" t="inlineStr">
        <is>
          <t>Banking (typical)</t>
        </is>
      </c>
      <c r="B6" s="87" t="inlineStr">
        <is>
          <t>55-65%</t>
        </is>
      </c>
      <c r="C6" s="87" t="inlineStr">
        <is>
          <t>High but below capital markets</t>
        </is>
      </c>
      <c r="D6" s="87" t="inlineStr">
        <is>
          <t>Estimate from Accenture</t>
        </is>
      </c>
    </row>
    <row r="7" ht="23.25" customHeight="1" s="70">
      <c r="A7" s="86" t="inlineStr">
        <is>
          <t>Insurance (typical)</t>
        </is>
      </c>
      <c r="B7" s="87" t="inlineStr">
        <is>
          <t>45-55%</t>
        </is>
      </c>
      <c r="C7" s="87" t="inlineStr">
        <is>
          <t>Mid-tier</t>
        </is>
      </c>
      <c r="D7" s="87" t="inlineStr">
        <is>
          <t>Estimate from Accenture</t>
        </is>
      </c>
    </row>
    <row r="8" ht="23.25" customHeight="1" s="70">
      <c r="A8" s="86" t="inlineStr">
        <is>
          <t>Asset management (typical)</t>
        </is>
      </c>
      <c r="B8" s="87" t="inlineStr">
        <is>
          <t>50-60%</t>
        </is>
      </c>
      <c r="C8" s="87" t="inlineStr">
        <is>
          <t>Knowledge-work heavy</t>
        </is>
      </c>
      <c r="D8" s="87" t="inlineStr">
        <is>
          <t>Estimate from Accenture</t>
        </is>
      </c>
    </row>
    <row r="10" ht="69.75" customHeight="1" s="70">
      <c r="A10" s="90" t="inlineStr">
        <is>
          <t>Insight  |  Capital markets at 72% hours impacted = highest single FinServ subsector exposure. Combined with FinServ revenue uplift data (ST03: 68% of firms see uplift, 23% above 20%), capital markets is the strongest single-use-case for outcome / gainsharing pricing on this dossier — high replaceability AND clean revenue attribution AND regulated work.</t>
        </is>
      </c>
    </row>
    <row r="11" ht="27.75" customHeight="1" s="70">
      <c r="A11" s="77" t="inlineStr">
        <is>
          <t>Source  |  Statista 1558899 — Working hours impacted by GenAI in finance, by sector  —  https://www.statista.com/statistics/1558899/working-hours-impacted-generative-ai-finance/</t>
        </is>
      </c>
    </row>
    <row r="12" ht="27.75" customHeight="1" s="70">
      <c r="A12" s="77" t="inlineStr">
        <is>
          <t>Source  |  Accenture — Generative AI in financial services (source)  —  https://www.accenture.com/us-en/insights/financial-services/generative-ai-financial-services</t>
        </is>
      </c>
    </row>
  </sheetData>
  <mergeCells count="5">
    <mergeCell ref="A12:H12"/>
    <mergeCell ref="A1:J1"/>
    <mergeCell ref="A10:H10"/>
    <mergeCell ref="A11:H11"/>
    <mergeCell ref="A2:J2"/>
  </mergeCells>
  <hyperlinks>
    <hyperlink xmlns:r="http://schemas.openxmlformats.org/officeDocument/2006/relationships" ref="A11" display="Source  |  Statista 1558899 — Working hours impacted by GenAI in finance, by sector  —  https://www.statista.com/statistics/1558899/working-hours-impacted-generative-ai-finance/" r:id="rId1"/>
    <hyperlink xmlns:r="http://schemas.openxmlformats.org/officeDocument/2006/relationships" ref="A12" display="Source  |  Accenture — Generative AI in financial services (source)  —  https://www.accenture.com/us-en/insights/financial-services/generative-ai-financial-services"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J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69" min="1" max="1"/>
    <col width="18" customWidth="1" style="69" min="2" max="2"/>
    <col width="16" customWidth="1" style="69" min="3" max="8"/>
  </cols>
  <sheetData>
    <row r="1" ht="31.5" customHeight="1" s="70">
      <c r="A1" s="78" t="inlineStr">
        <is>
          <t>ST13  |  Fintechs lead AI profitability — 27% report significant gains, 50% modest gains — Statista 1617474, 2024</t>
        </is>
      </c>
    </row>
    <row r="2" ht="21.75" customHeight="1" s="70">
      <c r="A2" s="84" t="inlineStr">
        <is>
          <t>What share of fintechs are reporting AI-driven profitability improvements?</t>
        </is>
      </c>
    </row>
    <row r="4" ht="15" customHeight="1" s="70">
      <c r="A4" s="79" t="inlineStr">
        <is>
          <t>Outcome</t>
        </is>
      </c>
      <c r="B4" s="79" t="inlineStr">
        <is>
          <t>% of fintechs</t>
        </is>
      </c>
      <c r="C4" s="79" t="inlineStr">
        <is>
          <t>Position</t>
        </is>
      </c>
      <c r="D4" s="79" t="inlineStr">
        <is>
          <t>Note</t>
        </is>
      </c>
    </row>
    <row r="5" ht="23.25" customHeight="1" s="70">
      <c r="A5" s="86" t="inlineStr">
        <is>
          <t>Significant profitability improvement</t>
        </is>
      </c>
      <c r="B5" s="87" t="n">
        <v>27</v>
      </c>
      <c r="C5" s="87" t="inlineStr">
        <is>
          <t>Best-in-class</t>
        </is>
      </c>
      <c r="D5" s="87" t="inlineStr">
        <is>
          <t>AI-native operating models</t>
        </is>
      </c>
    </row>
    <row r="6" ht="23.25" customHeight="1" s="70">
      <c r="A6" s="86" t="inlineStr">
        <is>
          <t>Modest profitability improvement</t>
        </is>
      </c>
      <c r="B6" s="87" t="n">
        <v>50</v>
      </c>
      <c r="C6" s="87" t="inlineStr">
        <is>
          <t>Majority pattern</t>
        </is>
      </c>
      <c r="D6" s="87" t="inlineStr">
        <is>
          <t>Tangible but limited</t>
        </is>
      </c>
    </row>
    <row r="7" ht="15" customHeight="1" s="70">
      <c r="A7" s="86" t="inlineStr">
        <is>
          <t>No change or unclear</t>
        </is>
      </c>
      <c r="B7" s="87" t="n">
        <v>23</v>
      </c>
      <c r="C7" s="87" t="inlineStr">
        <is>
          <t>Lagging cohort</t>
        </is>
      </c>
      <c r="D7" s="87" t="inlineStr">
        <is>
          <t>Implied residual</t>
        </is>
      </c>
    </row>
    <row r="9" ht="69.75" customHeight="1" s="70">
      <c r="A9" s="90" t="inlineStr">
        <is>
          <t>Insight  |  77% of fintechs report at least modest AI profitability lift. This is the strongest single sector cohort in this dossier. Combine with ST05 (fintech 56% positive vs traditional FI 34%) and ST03 (FinServ 68% revenue uplift): fintech is the bull-case AI value capture cohort. Use as the proof-of-concept reference in sales pitches — but caveat that traditional FI replicates only ~60% of the result.</t>
        </is>
      </c>
    </row>
    <row r="10" ht="27.75" customHeight="1" s="70">
      <c r="A10" s="77" t="inlineStr">
        <is>
          <t>Source  |  Statista 1617474 — AI fintech profitability impact 2024  —  https://www.statista.com/statistics/1617474/ai-fintech-impact-on-profitability/</t>
        </is>
      </c>
    </row>
  </sheetData>
  <mergeCells count="4">
    <mergeCell ref="A9:H9"/>
    <mergeCell ref="A1:J1"/>
    <mergeCell ref="A2:J2"/>
    <mergeCell ref="A10:H10"/>
  </mergeCells>
  <hyperlinks>
    <hyperlink xmlns:r="http://schemas.openxmlformats.org/officeDocument/2006/relationships" ref="A10" display="Source  |  Statista 1617474 — AI fintech profitability impact 2024  —  https://www.statista.com/statistics/1617474/ai-fintech-impact-on-profitability/"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S01  |  Software development — controlled trials show 26–55% speed gains on green-field tasks; real-world evidence is mixed (−19% to +56%)</t>
        </is>
      </c>
    </row>
    <row r="2" ht="21.75" customHeight="1" s="70">
      <c r="A2" s="84" t="inlineStr">
        <is>
          <t>What is the true productivity uplift of AI coding assistants — and why do RCTs disagree?</t>
        </is>
      </c>
    </row>
    <row r="4" ht="23.25" customHeight="1" s="70">
      <c r="A4" s="79" t="inlineStr">
        <is>
          <t>Study / source</t>
        </is>
      </c>
      <c r="B4" s="79" t="inlineStr">
        <is>
          <t>Population</t>
        </is>
      </c>
      <c r="C4" s="79" t="inlineStr">
        <is>
          <t>Productivity result</t>
        </is>
      </c>
      <c r="D4" s="79" t="inlineStr">
        <is>
          <t>Outlet</t>
        </is>
      </c>
    </row>
    <row r="5" ht="23.25" customHeight="1" s="70">
      <c r="A5" s="86" t="inlineStr">
        <is>
          <t>GitHub Copilot RCT (2023)</t>
        </is>
      </c>
      <c r="B5" s="87" t="inlineStr">
        <is>
          <t>95 devs, HTTP server task</t>
        </is>
      </c>
      <c r="C5" s="87" t="inlineStr">
        <is>
          <t>55% faster, +8pp completion</t>
        </is>
      </c>
      <c r="D5" s="87" t="inlineStr">
        <is>
          <t>Microsoft Research / arXiv</t>
        </is>
      </c>
    </row>
    <row r="6" ht="23.25" customHeight="1" s="70">
      <c r="A6" s="88" t="inlineStr">
        <is>
          <t>METR open-source devs (2025)</t>
        </is>
      </c>
      <c r="B6" s="89" t="inlineStr">
        <is>
          <t>16 devs, 246 real issues</t>
        </is>
      </c>
      <c r="C6" s="89" t="inlineStr">
        <is>
          <t>−19% (slower than no-AI)</t>
        </is>
      </c>
      <c r="D6" s="89" t="inlineStr">
        <is>
          <t>METR</t>
        </is>
      </c>
    </row>
    <row r="7" ht="34.5" customHeight="1" s="70">
      <c r="A7" s="86" t="inlineStr">
        <is>
          <t>DX / The New Stack (2026)</t>
        </is>
      </c>
      <c r="B7" s="87" t="inlineStr">
        <is>
          <t>Cross-study synthesis</t>
        </is>
      </c>
      <c r="C7" s="87" t="inlineStr">
        <is>
          <t>+56% green-field, −19% real-world</t>
        </is>
      </c>
      <c r="D7" s="87" t="inlineStr">
        <is>
          <t>DX newsletter</t>
        </is>
      </c>
    </row>
    <row r="8" ht="23.25" customHeight="1" s="70">
      <c r="A8" s="88" t="inlineStr">
        <is>
          <t>PluralSight / industry self-report</t>
        </is>
      </c>
      <c r="B8" s="89" t="inlineStr">
        <is>
          <t>Various dev surveys</t>
        </is>
      </c>
      <c r="C8" s="89" t="inlineStr">
        <is>
          <t>+88% developer self-report</t>
        </is>
      </c>
      <c r="D8" s="89" t="inlineStr">
        <is>
          <t>Vena, Apollo Tech</t>
        </is>
      </c>
    </row>
    <row r="9" ht="23.25" customHeight="1" s="70">
      <c r="A9" s="86" t="inlineStr">
        <is>
          <t>Census ABS — software adoption</t>
        </is>
      </c>
      <c r="B9" s="87" t="inlineStr">
        <is>
          <t>US firms, software sector</t>
        </is>
      </c>
      <c r="C9" s="87" t="inlineStr">
        <is>
          <t>Highest adoption sector</t>
        </is>
      </c>
      <c r="D9" s="87" t="inlineStr">
        <is>
          <t>Census ABS 2023</t>
        </is>
      </c>
    </row>
    <row r="11" ht="15" customHeight="1" s="70">
      <c r="A11" s="85" t="inlineStr">
        <is>
          <t>Chart data — measured uplift by study</t>
        </is>
      </c>
    </row>
    <row r="12" ht="15" customHeight="1" s="70">
      <c r="A12" s="79" t="inlineStr">
        <is>
          <t>Study</t>
        </is>
      </c>
      <c r="B12" s="79" t="inlineStr">
        <is>
          <t>Productivity %</t>
        </is>
      </c>
    </row>
    <row r="13" ht="15" customHeight="1" s="70">
      <c r="A13" s="86" t="inlineStr">
        <is>
          <t>Copilot RCT — green-field</t>
        </is>
      </c>
      <c r="B13" s="87" t="n">
        <v>55</v>
      </c>
    </row>
    <row r="14" ht="15" customHeight="1" s="70">
      <c r="A14" s="88" t="inlineStr">
        <is>
          <t>MS Copilot — internal speed</t>
        </is>
      </c>
      <c r="B14" s="89" t="n">
        <v>29</v>
      </c>
    </row>
    <row r="15" ht="15" customHeight="1" s="70">
      <c r="A15" s="86" t="inlineStr">
        <is>
          <t>Dev self-report (Vena)</t>
        </is>
      </c>
      <c r="B15" s="87" t="n">
        <v>88</v>
      </c>
    </row>
    <row r="16" ht="15" customHeight="1" s="70">
      <c r="A16" s="88" t="inlineStr">
        <is>
          <t>METR — real-world OSS</t>
        </is>
      </c>
      <c r="B16" s="89" t="n">
        <v>-19</v>
      </c>
    </row>
    <row r="17" ht="54.75" customHeight="1" s="70">
      <c r="A17" s="90" t="inlineStr">
        <is>
          <t>Insight  |  Headline 55% (Copilot RCT) reflects a contrived green-field task. METR's −19% is the only RCT on experienced devs working on their own repos. Truth is task-dependent: AI accelerates greenfield + boilerplate, slows experienced devs on mature codebases. Defensible mid-range for sales pitch: 20–30% on AI-fit dev tasks.</t>
        </is>
      </c>
    </row>
    <row r="18" ht="30" customHeight="1" s="70">
      <c r="A18" s="77" t="inlineStr">
        <is>
          <t>Source  |  GitHub Copilot study (arXiv 2302.06590)  —  https://arxiv.org/abs/2302.06590</t>
        </is>
      </c>
    </row>
    <row r="19" ht="30" customHeight="1" s="70">
      <c r="A19" s="77" t="inlineStr">
        <is>
          <t>Source  |  GitHub blog — 55% productivity  —  https://github.blog/news-insights/research/research-quantifying-github-copilots-impact-on-developer-productivity-and-happiness/</t>
        </is>
      </c>
    </row>
    <row r="20" ht="30" customHeight="1" s="70">
      <c r="A20" s="77" t="inlineStr">
        <is>
          <t>Source  |  METR — 2025 OSS dev study  —  https://metr.org/blog/2025-07-10-early-2025-ai-experienced-os-dev-study/</t>
        </is>
      </c>
    </row>
    <row r="21" ht="30" customHeight="1" s="70">
      <c r="A21" s="77" t="inlineStr">
        <is>
          <t>Source  |  The New Stack — 56% vs 19% reconciliation  —  https://thenewstack.io/how-ai-coding-makes-developers-56-faster-and-19-slower/</t>
        </is>
      </c>
    </row>
    <row r="22" ht="30" customHeight="1" s="70">
      <c r="A22" s="77" t="inlineStr">
        <is>
          <t>Source  |  DX newsletter — METR analysis  —  https://newsletter.getdx.com/p/metr-study-on-how-ai-affects-developer-productivity</t>
        </is>
      </c>
    </row>
  </sheetData>
  <mergeCells count="8">
    <mergeCell ref="A18:H18"/>
    <mergeCell ref="A21:H21"/>
    <mergeCell ref="A20:H20"/>
    <mergeCell ref="A2:H2"/>
    <mergeCell ref="A19:H19"/>
    <mergeCell ref="A1:H1"/>
    <mergeCell ref="A22:H22"/>
    <mergeCell ref="A17:H17"/>
  </mergeCells>
  <hyperlinks>
    <hyperlink xmlns:r="http://schemas.openxmlformats.org/officeDocument/2006/relationships" ref="A18" display="Source  |  GitHub Copilot study (arXiv 2302.06590)  —  https://arxiv.org/abs/2302.06590" r:id="rId1"/>
    <hyperlink xmlns:r="http://schemas.openxmlformats.org/officeDocument/2006/relationships" ref="A19" display="Source  |  GitHub blog — 55% productivity  —  https://github.blog/news-insights/research/research-quantifying-github-copilots-impact-on-developer-productivity-and-happiness/" r:id="rId2"/>
    <hyperlink xmlns:r="http://schemas.openxmlformats.org/officeDocument/2006/relationships" ref="A20" display="Source  |  METR — 2025 OSS dev study  —  https://metr.org/blog/2025-07-10-early-2025-ai-experienced-os-dev-study/" r:id="rId3"/>
    <hyperlink xmlns:r="http://schemas.openxmlformats.org/officeDocument/2006/relationships" ref="A21" display="Source  |  The New Stack — 56% vs 19% reconciliation  —  https://thenewstack.io/how-ai-coding-makes-developers-56-faster-and-19-slower/" r:id="rId4"/>
    <hyperlink xmlns:r="http://schemas.openxmlformats.org/officeDocument/2006/relationships" ref="A22" display="Source  |  DX newsletter — METR analysis  —  https://newsletter.getdx.com/p/metr-study-on-how-ai-affects-developer-productivity" r:id="rId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6"/>
</worksheet>
</file>

<file path=xl/worksheets/sheet34.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S02  |  Customer service AI lifts agent productivity 14–15% on average — but full headcount replacement has reversed at Klarna and Salesforce</t>
        </is>
      </c>
    </row>
    <row r="2" ht="21.75" customHeight="1" s="70">
      <c r="A2" s="84" t="inlineStr">
        <is>
          <t>Where does AI work in customer support, and where does it break?</t>
        </is>
      </c>
    </row>
    <row r="4" ht="23.25" customHeight="1" s="70">
      <c r="A4" s="79" t="inlineStr">
        <is>
          <t>Source</t>
        </is>
      </c>
      <c r="B4" s="79" t="inlineStr">
        <is>
          <t>Population</t>
        </is>
      </c>
      <c r="C4" s="79" t="inlineStr">
        <is>
          <t>Productivity result</t>
        </is>
      </c>
      <c r="D4" s="79" t="inlineStr">
        <is>
          <t>Caveat</t>
        </is>
      </c>
    </row>
    <row r="5" ht="34.5" customHeight="1" s="70">
      <c r="A5" s="86" t="inlineStr">
        <is>
          <t>Brynjolfsson, Li, Raymond (NBER/QJE)</t>
        </is>
      </c>
      <c r="B5" s="87" t="inlineStr">
        <is>
          <t>5,179 agents, Fortune 500</t>
        </is>
      </c>
      <c r="C5" s="87" t="inlineStr">
        <is>
          <t>+14–15% issues/hr avg</t>
        </is>
      </c>
      <c r="D5" s="87" t="inlineStr">
        <is>
          <t>+34% for novices; small for experts</t>
        </is>
      </c>
    </row>
    <row r="6" ht="34.5" customHeight="1" s="70">
      <c r="A6" s="88" t="inlineStr">
        <is>
          <t>Salesforce internal (2025)</t>
        </is>
      </c>
      <c r="B6" s="89" t="inlineStr">
        <is>
          <t>Customer support, post AI deployment</t>
        </is>
      </c>
      <c r="C6" s="89" t="inlineStr">
        <is>
          <t>−17% support cost</t>
        </is>
      </c>
      <c r="D6" s="89" t="inlineStr">
        <is>
          <t>Support workforce 9,000→5,000</t>
        </is>
      </c>
    </row>
    <row r="7" ht="34.5" customHeight="1" s="70">
      <c r="A7" s="86" t="inlineStr">
        <is>
          <t>Klarna initial (Feb 2024)</t>
        </is>
      </c>
      <c r="B7" s="87" t="inlineStr">
        <is>
          <t>AI replacing 700 agents</t>
        </is>
      </c>
      <c r="C7" s="87" t="inlineStr">
        <is>
          <t>2.3M chats/month, 75% volume</t>
        </is>
      </c>
      <c r="D7" s="87" t="inlineStr">
        <is>
          <t>Margin uplift initially</t>
        </is>
      </c>
    </row>
    <row r="8" ht="34.5" customHeight="1" s="70">
      <c r="A8" s="88" t="inlineStr">
        <is>
          <t>Klarna reversal (2025)</t>
        </is>
      </c>
      <c r="B8" s="89" t="inlineStr">
        <is>
          <t>Quality collapse, rehiring</t>
        </is>
      </c>
      <c r="C8" s="89" t="inlineStr">
        <is>
          <t>CSAT decline, complaints up</t>
        </is>
      </c>
      <c r="D8" s="89" t="inlineStr">
        <is>
          <t>CEO: 'too focused on efficiency'</t>
        </is>
      </c>
    </row>
    <row r="9" ht="23.25" customHeight="1" s="70">
      <c r="A9" s="86" t="inlineStr">
        <is>
          <t>Stanford AI Index 2025 — service ops</t>
        </is>
      </c>
      <c r="B9" s="87" t="inlineStr">
        <is>
          <t>Enterprise survey</t>
        </is>
      </c>
      <c r="C9" s="87" t="inlineStr">
        <is>
          <t>49% report cost savings</t>
        </is>
      </c>
      <c r="D9" s="87" t="inlineStr">
        <is>
          <t>Most &lt;10% magnitude</t>
        </is>
      </c>
    </row>
    <row r="11" ht="15" customHeight="1" s="70">
      <c r="A11" s="85" t="inlineStr">
        <is>
          <t>Chart data — productivity uplift by worker skill (Brynjolfsson)</t>
        </is>
      </c>
    </row>
    <row r="12" ht="15" customHeight="1" s="70">
      <c r="A12" s="79" t="inlineStr">
        <is>
          <t>Skill cohort</t>
        </is>
      </c>
      <c r="B12" s="79" t="inlineStr">
        <is>
          <t>Productivity %</t>
        </is>
      </c>
    </row>
    <row r="13" ht="15" customHeight="1" s="70">
      <c r="A13" s="86" t="inlineStr">
        <is>
          <t>Bottom skill quintile</t>
        </is>
      </c>
      <c r="B13" s="87" t="n">
        <v>34</v>
      </c>
    </row>
    <row r="14" ht="15" customHeight="1" s="70">
      <c r="A14" s="88" t="inlineStr">
        <is>
          <t>Median worker</t>
        </is>
      </c>
      <c r="B14" s="89" t="n">
        <v>14</v>
      </c>
    </row>
    <row r="15" ht="15" customHeight="1" s="70">
      <c r="A15" s="86" t="inlineStr">
        <is>
          <t>Top skill quintile</t>
        </is>
      </c>
      <c r="B15" s="87" t="n">
        <v>1</v>
      </c>
    </row>
    <row r="16" ht="54.75" customHeight="1" s="70">
      <c r="A16" s="90" t="inlineStr">
        <is>
          <t>Insight  |  The single most rigorous workplace AI study (Brynjolfsson/Li/Raymond, 5,179 agents) shows AI compresses skill distribution — novices gain 34%, experts ~0%. Salesforce/Klarna cases prove the limit: AI handles tier-1 volume but degrades on complex queries. Hybrid model is the realistic endpoint, not full replacement.</t>
        </is>
      </c>
    </row>
    <row r="17" ht="30" customHeight="1" s="70">
      <c r="A17" s="77" t="inlineStr">
        <is>
          <t>Source  |  Brynjolfsson, Li, Raymond — NBER w31161  —  https://www.nber.org/papers/w31161</t>
        </is>
      </c>
    </row>
    <row r="18" ht="30" customHeight="1" s="70">
      <c r="A18" s="77" t="inlineStr">
        <is>
          <t>Source  |  Brynjolfsson — QJE 2025 (Generative AI at Work)  —  https://academic.oup.com/qje/article/140/2/889/7990658</t>
        </is>
      </c>
    </row>
    <row r="19" ht="30" customHeight="1" s="70">
      <c r="A19" s="77" t="inlineStr">
        <is>
          <t>Source  |  Klarna — Entrepreneur (rehiring humans)  —  https://www.entrepreneur.com/business-news/klarna-ceo-reverses-course-by-hiring-more-humans-not-ai/491396</t>
        </is>
      </c>
    </row>
    <row r="20" ht="30" customHeight="1" s="70">
      <c r="A20" s="77" t="inlineStr">
        <is>
          <t>Source  |  Klarna — Futurism (CEO admits)  —  https://futurism.com/klarna-openai-humans-ai-back</t>
        </is>
      </c>
    </row>
    <row r="21" ht="30" customHeight="1" s="70">
      <c r="A21" s="77" t="inlineStr">
        <is>
          <t>Source  |  Salesforce CEO — Fortune  —  https://fortune.com/2025/09/02/salesforce-ceo-billionaire-marc-benioff-ai-agents-jobs-layoffs-customer-service-sales/</t>
        </is>
      </c>
    </row>
  </sheetData>
  <mergeCells count="8">
    <mergeCell ref="A18:H18"/>
    <mergeCell ref="A21:H21"/>
    <mergeCell ref="A20:H20"/>
    <mergeCell ref="A16:H16"/>
    <mergeCell ref="A2:H2"/>
    <mergeCell ref="A19:H19"/>
    <mergeCell ref="A1:H1"/>
    <mergeCell ref="A17:H17"/>
  </mergeCells>
  <hyperlinks>
    <hyperlink xmlns:r="http://schemas.openxmlformats.org/officeDocument/2006/relationships" ref="A17" display="Source  |  Brynjolfsson, Li, Raymond — NBER w31161  —  https://www.nber.org/papers/w31161" r:id="rId1"/>
    <hyperlink xmlns:r="http://schemas.openxmlformats.org/officeDocument/2006/relationships" ref="A18" display="Source  |  Brynjolfsson — QJE 2025 (Generative AI at Work)  —  https://academic.oup.com/qje/article/140/2/889/7990658" r:id="rId2"/>
    <hyperlink xmlns:r="http://schemas.openxmlformats.org/officeDocument/2006/relationships" ref="A19" display="Source  |  Klarna — Entrepreneur (rehiring humans)  —  https://www.entrepreneur.com/business-news/klarna-ceo-reverses-course-by-hiring-more-humans-not-ai/491396" r:id="rId3"/>
    <hyperlink xmlns:r="http://schemas.openxmlformats.org/officeDocument/2006/relationships" ref="A20" display="Source  |  Klarna — Futurism (CEO admits)  —  https://futurism.com/klarna-openai-humans-ai-back" r:id="rId4"/>
    <hyperlink xmlns:r="http://schemas.openxmlformats.org/officeDocument/2006/relationships" ref="A21" display="Source  |  Salesforce CEO — Fortune  —  https://fortune.com/2025/09/02/salesforce-ceo-billionaire-marc-benioff-ai-agents-jobs-layoffs-customer-service-sales/" r:id="rId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6"/>
</worksheet>
</file>

<file path=xl/worksheets/sheet35.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S03  |  Professional writing tasks see the largest measured uplift — 37% faster, 18% higher quality (Noy &amp; Zhang, Science)</t>
        </is>
      </c>
    </row>
    <row r="2" ht="21.75" customHeight="1" s="70">
      <c r="A2" s="84" t="inlineStr">
        <is>
          <t>Why is writing the strongest AI use case — and what does that mean for marketing teams?</t>
        </is>
      </c>
    </row>
    <row r="4" ht="15" customHeight="1" s="70">
      <c r="A4" s="79" t="inlineStr">
        <is>
          <t>Source</t>
        </is>
      </c>
      <c r="B4" s="79" t="inlineStr">
        <is>
          <t>Population</t>
        </is>
      </c>
      <c r="C4" s="79" t="inlineStr">
        <is>
          <t>Result</t>
        </is>
      </c>
      <c r="D4" s="79" t="inlineStr">
        <is>
          <t>Caveat</t>
        </is>
      </c>
    </row>
    <row r="5" ht="34.5" customHeight="1" s="70">
      <c r="A5" s="86" t="inlineStr">
        <is>
          <t>Noy &amp; Zhang (Science, 2023)</t>
        </is>
      </c>
      <c r="B5" s="87" t="inlineStr">
        <is>
          <t>453 professionals, 20–30 min tasks</t>
        </is>
      </c>
      <c r="C5" s="87" t="inlineStr">
        <is>
          <t>37% time saved, +0.45 SD quality</t>
        </is>
      </c>
      <c r="D5" s="87" t="inlineStr">
        <is>
          <t>Distribution compressed</t>
        </is>
      </c>
    </row>
    <row r="6" ht="34.5" customHeight="1" s="70">
      <c r="A6" s="88" t="inlineStr">
        <is>
          <t>Brynjolfsson, Li, Raymond — writing</t>
        </is>
      </c>
      <c r="B6" s="89" t="inlineStr">
        <is>
          <t>Customer support transcripts</t>
        </is>
      </c>
      <c r="C6" s="89" t="inlineStr">
        <is>
          <t>Quality + sentiment lift</t>
        </is>
      </c>
      <c r="D6" s="89" t="inlineStr">
        <is>
          <t>Novice-skewed</t>
        </is>
      </c>
    </row>
    <row r="7" ht="23.25" customHeight="1" s="70">
      <c r="A7" s="86" t="inlineStr">
        <is>
          <t>McKinsey — marketing &amp; sales (2025)</t>
        </is>
      </c>
      <c r="B7" s="87" t="inlineStr">
        <is>
          <t>Enterprise survey</t>
        </is>
      </c>
      <c r="C7" s="87" t="inlineStr">
        <is>
          <t>71% report revenue uplift</t>
        </is>
      </c>
      <c r="D7" s="87" t="inlineStr">
        <is>
          <t>Most &lt;5% magnitude</t>
        </is>
      </c>
    </row>
    <row r="8" ht="23.25" customHeight="1" s="70">
      <c r="A8" s="88" t="inlineStr">
        <is>
          <t>Canva × HBR (2024)</t>
        </is>
      </c>
      <c r="B8" s="89" t="inlineStr">
        <is>
          <t>Business leaders</t>
        </is>
      </c>
      <c r="C8" s="89" t="inlineStr">
        <is>
          <t>63% report creativity gain</t>
        </is>
      </c>
      <c r="D8" s="89" t="inlineStr">
        <is>
          <t>Self-report, not measured</t>
        </is>
      </c>
    </row>
    <row r="9" ht="34.5" customHeight="1" s="70">
      <c r="A9" s="86" t="inlineStr">
        <is>
          <t>Stanford AI Index 2025</t>
        </is>
      </c>
      <c r="B9" s="87" t="inlineStr">
        <is>
          <t>Marketing &amp; sales adoption</t>
        </is>
      </c>
      <c r="C9" s="87" t="inlineStr">
        <is>
          <t>Highest function-level revenue lift</t>
        </is>
      </c>
      <c r="D9" s="87" t="inlineStr">
        <is>
          <t>Selected respondents</t>
        </is>
      </c>
    </row>
    <row r="11" ht="15" customHeight="1" s="70">
      <c r="A11" s="85" t="inlineStr">
        <is>
          <t>Chart data — Noy/Zhang headline numbers</t>
        </is>
      </c>
    </row>
    <row r="12" ht="15" customHeight="1" s="70">
      <c r="A12" s="79" t="inlineStr">
        <is>
          <t>Metric</t>
        </is>
      </c>
      <c r="B12" s="79" t="inlineStr">
        <is>
          <t>% change</t>
        </is>
      </c>
    </row>
    <row r="13" ht="15" customHeight="1" s="70">
      <c r="A13" s="86" t="inlineStr">
        <is>
          <t>Time saved</t>
        </is>
      </c>
      <c r="B13" s="87" t="n">
        <v>37</v>
      </c>
    </row>
    <row r="14" ht="15" customHeight="1" s="70">
      <c r="A14" s="88" t="inlineStr">
        <is>
          <t>Quality improvement (SD-normalised)</t>
        </is>
      </c>
      <c r="B14" s="89" t="n">
        <v>18</v>
      </c>
    </row>
    <row r="15" ht="15" customHeight="1" s="70">
      <c r="A15" s="86" t="inlineStr">
        <is>
          <t>Originality variance</t>
        </is>
      </c>
      <c r="B15" s="87" t="n">
        <v>-8</v>
      </c>
    </row>
    <row r="16" ht="54.75" customHeight="1" s="70">
      <c r="A16" s="90" t="inlineStr">
        <is>
          <t>Insight  |  Writing is the cleanest AI productivity win because output quality is largely subjective and AI matches median quality cheaply. But — separate studies show AI compresses creative variance (more uniform output, less originality across the team). Strong sales pitch: 30–40% time on routine writing. Weak pitch: replacing senior creatives.</t>
        </is>
      </c>
    </row>
    <row r="17" ht="30" customHeight="1" s="70">
      <c r="A17" s="77" t="inlineStr">
        <is>
          <t>Source  |  Noy &amp; Zhang — Science  —  https://www.science.org/doi/10.1126/science.adh2586</t>
        </is>
      </c>
    </row>
    <row r="18" ht="30" customHeight="1" s="70">
      <c r="A18" s="77" t="inlineStr">
        <is>
          <t>Source  |  MIT News — ChatGPT writing study  —  https://news.mit.edu/2023/study-finds-chatgpt-boosts-worker-productivity-writing-0714</t>
        </is>
      </c>
    </row>
    <row r="19" ht="30" customHeight="1" s="70">
      <c r="A19" s="77" t="inlineStr">
        <is>
          <t>Source  |  McKinsey — State of AI 2025  —  https://www.mckinsey.com/capabilities/quantumblack/our-insights/the-state-of-ai</t>
        </is>
      </c>
    </row>
  </sheetData>
  <mergeCells count="6">
    <mergeCell ref="A18:H18"/>
    <mergeCell ref="A2:H2"/>
    <mergeCell ref="A16:H16"/>
    <mergeCell ref="A19:H19"/>
    <mergeCell ref="A1:H1"/>
    <mergeCell ref="A17:H17"/>
  </mergeCells>
  <hyperlinks>
    <hyperlink xmlns:r="http://schemas.openxmlformats.org/officeDocument/2006/relationships" ref="A17" display="Source  |  Noy &amp; Zhang — Science  —  https://www.science.org/doi/10.1126/science.adh2586" r:id="rId1"/>
    <hyperlink xmlns:r="http://schemas.openxmlformats.org/officeDocument/2006/relationships" ref="A18" display="Source  |  MIT News — ChatGPT writing study  —  https://news.mit.edu/2023/study-finds-chatgpt-boosts-worker-productivity-writing-0714" r:id="rId2"/>
    <hyperlink xmlns:r="http://schemas.openxmlformats.org/officeDocument/2006/relationships" ref="A19" display="Source  |  McKinsey — State of AI 2025  —  https://www.mckinsey.com/capabilities/quantumblack/our-insights/the-state-of-ai"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4"/>
</worksheet>
</file>

<file path=xl/worksheets/sheet36.xml><?xml version="1.0" encoding="utf-8"?>
<worksheet xmlns="http://schemas.openxmlformats.org/spreadsheetml/2006/main">
  <sheetPr filterMode="0">
    <outlinePr summaryBelow="1" summaryRight="1"/>
    <pageSetUpPr fitToPage="0"/>
  </sheetPr>
  <dimension ref="A1:H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S04  |  BCG-HBS 'jagged frontier' study — consultants 25% faster, +40% quality inside AI capabilities; −19pp worse outside them</t>
        </is>
      </c>
    </row>
    <row r="2" ht="21.75" customHeight="1" s="70">
      <c r="A2" s="84" t="inlineStr">
        <is>
          <t>What does the most-cited workplace AI study mean for knowledge work?</t>
        </is>
      </c>
    </row>
    <row r="4" ht="15" customHeight="1" s="70">
      <c r="A4" s="79" t="inlineStr">
        <is>
          <t>Result dimension</t>
        </is>
      </c>
      <c r="B4" s="79" t="inlineStr">
        <is>
          <t>Population</t>
        </is>
      </c>
      <c r="C4" s="79" t="inlineStr">
        <is>
          <t>Effect</t>
        </is>
      </c>
      <c r="D4" s="79" t="inlineStr">
        <is>
          <t>Note</t>
        </is>
      </c>
    </row>
    <row r="5" ht="23.25" customHeight="1" s="70">
      <c r="A5" s="86" t="inlineStr">
        <is>
          <t>Inside AI frontier — speed</t>
        </is>
      </c>
      <c r="B5" s="87" t="inlineStr">
        <is>
          <t>758 BCG consultants</t>
        </is>
      </c>
      <c r="C5" s="87" t="inlineStr">
        <is>
          <t>+25.1% faster</t>
        </is>
      </c>
      <c r="D5" s="87" t="inlineStr">
        <is>
          <t>vs control group</t>
        </is>
      </c>
    </row>
    <row r="6" ht="23.25" customHeight="1" s="70">
      <c r="A6" s="88" t="inlineStr">
        <is>
          <t>Inside AI frontier — quality</t>
        </is>
      </c>
      <c r="B6" s="89" t="inlineStr">
        <is>
          <t>Same cohort</t>
        </is>
      </c>
      <c r="C6" s="89" t="inlineStr">
        <is>
          <t>+40% rated quality</t>
        </is>
      </c>
      <c r="D6" s="89" t="inlineStr">
        <is>
          <t>Blind grading</t>
        </is>
      </c>
    </row>
    <row r="7" ht="23.25" customHeight="1" s="70">
      <c r="A7" s="86" t="inlineStr">
        <is>
          <t>Inside AI frontier — task completion</t>
        </is>
      </c>
      <c r="B7" s="87" t="inlineStr">
        <is>
          <t>Same cohort</t>
        </is>
      </c>
      <c r="C7" s="87" t="inlineStr">
        <is>
          <t>+12.2% more tasks</t>
        </is>
      </c>
      <c r="D7" s="87" t="inlineStr">
        <is>
          <t>Statistically significant</t>
        </is>
      </c>
    </row>
    <row r="8" ht="23.25" customHeight="1" s="70">
      <c r="A8" s="88" t="inlineStr">
        <is>
          <t>Outside AI frontier</t>
        </is>
      </c>
      <c r="B8" s="89" t="inlineStr">
        <is>
          <t>Tasks AI handled poorly</t>
        </is>
      </c>
      <c r="C8" s="89" t="inlineStr">
        <is>
          <t>−19pp worse than no-AI</t>
        </is>
      </c>
      <c r="D8" s="89" t="inlineStr">
        <is>
          <t>Over-trust effect</t>
        </is>
      </c>
    </row>
    <row r="9" ht="34.5" customHeight="1" s="70">
      <c r="A9" s="86" t="inlineStr">
        <is>
          <t>Junior vs senior — BCG internal</t>
        </is>
      </c>
      <c r="B9" s="87" t="inlineStr">
        <is>
          <t>Internal productivity experiment</t>
        </is>
      </c>
      <c r="C9" s="87" t="inlineStr">
        <is>
          <t>30–40% gain juniors</t>
        </is>
      </c>
      <c r="D9" s="87" t="inlineStr">
        <is>
          <t>20–30% gain seniors</t>
        </is>
      </c>
    </row>
    <row r="10" ht="23.25" customHeight="1" s="70">
      <c r="A10" s="88" t="inlineStr">
        <is>
          <t>Bottom-half performers</t>
        </is>
      </c>
      <c r="B10" s="89" t="inlineStr">
        <is>
          <t>BCG-HBS study</t>
        </is>
      </c>
      <c r="C10" s="89" t="inlineStr">
        <is>
          <t>+43% quality improvement</t>
        </is>
      </c>
      <c r="D10" s="89" t="inlineStr">
        <is>
          <t>Distribution compressed</t>
        </is>
      </c>
    </row>
    <row r="12" ht="15" customHeight="1" s="70">
      <c r="A12" s="85" t="inlineStr">
        <is>
          <t>Chart data — Jagged Frontier effect sizes</t>
        </is>
      </c>
    </row>
    <row r="13" ht="15" customHeight="1" s="70">
      <c r="A13" s="79" t="inlineStr">
        <is>
          <t>Dimension</t>
        </is>
      </c>
      <c r="B13" s="79" t="inlineStr">
        <is>
          <t>% effect</t>
        </is>
      </c>
    </row>
    <row r="14" ht="15" customHeight="1" s="70">
      <c r="A14" s="86" t="inlineStr">
        <is>
          <t>Speed (in-frontier)</t>
        </is>
      </c>
      <c r="B14" s="87" t="n">
        <v>25</v>
      </c>
    </row>
    <row r="15" ht="15" customHeight="1" s="70">
      <c r="A15" s="88" t="inlineStr">
        <is>
          <t>Quality (in-frontier)</t>
        </is>
      </c>
      <c r="B15" s="89" t="n">
        <v>40</v>
      </c>
    </row>
    <row r="16" ht="15" customHeight="1" s="70">
      <c r="A16" s="86" t="inlineStr">
        <is>
          <t>Tasks (in-frontier)</t>
        </is>
      </c>
      <c r="B16" s="87" t="n">
        <v>12</v>
      </c>
    </row>
    <row r="17" ht="15" customHeight="1" s="70">
      <c r="A17" s="88" t="inlineStr">
        <is>
          <t>Out-of-frontier penalty</t>
        </is>
      </c>
      <c r="B17" s="89" t="n">
        <v>-19</v>
      </c>
    </row>
    <row r="19" ht="15" customHeight="1" s="70">
      <c r="A19" s="85" t="inlineStr">
        <is>
          <t>Consulting firm internal AI use</t>
        </is>
      </c>
    </row>
    <row r="20" ht="15" customHeight="1" s="70">
      <c r="A20" s="79" t="inlineStr">
        <is>
          <t>Firm</t>
        </is>
      </c>
      <c r="B20" s="79" t="inlineStr">
        <is>
          <t>Tool / scale</t>
        </is>
      </c>
      <c r="C20" s="79" t="inlineStr">
        <is>
          <t>Adoption</t>
        </is>
      </c>
      <c r="D20" s="79" t="inlineStr">
        <is>
          <t>Result</t>
        </is>
      </c>
    </row>
    <row r="21" ht="45.75" customHeight="1" s="70">
      <c r="A21" s="86" t="inlineStr">
        <is>
          <t>McKinsey</t>
        </is>
      </c>
      <c r="B21" s="87" t="inlineStr">
        <is>
          <t>Lilli platform</t>
        </is>
      </c>
      <c r="C21" s="87" t="inlineStr">
        <is>
          <t>75% of 40,000 staff</t>
        </is>
      </c>
      <c r="D21" s="87" t="inlineStr">
        <is>
          <t>30% time saved on research/synthesis</t>
        </is>
      </c>
    </row>
    <row r="22" ht="23.25" customHeight="1" s="70">
      <c r="A22" s="88" t="inlineStr">
        <is>
          <t>BCG</t>
        </is>
      </c>
      <c r="B22" s="89" t="inlineStr">
        <is>
          <t>GENE + 6,000+ custom agents</t>
        </is>
      </c>
      <c r="C22" s="89" t="inlineStr">
        <is>
          <t>1,200-person 'ground troops'</t>
        </is>
      </c>
      <c r="D22" s="89" t="inlineStr">
        <is>
          <t>Internal hours saved</t>
        </is>
      </c>
    </row>
    <row r="23" ht="34.5" customHeight="1" s="70">
      <c r="A23" s="86" t="inlineStr">
        <is>
          <t>Bain</t>
        </is>
      </c>
      <c r="B23" s="87" t="inlineStr">
        <is>
          <t>Bain GPTs (19,000+ custom)</t>
        </is>
      </c>
      <c r="C23" s="87" t="inlineStr">
        <is>
          <t>Wide internal</t>
        </is>
      </c>
      <c r="D23" s="87" t="inlineStr">
        <is>
          <t>Internal</t>
        </is>
      </c>
    </row>
    <row r="24" ht="54.75" customHeight="1" s="70">
      <c r="A24" s="90" t="inlineStr">
        <is>
          <t>Insight  |  The jagged frontier is the single most important concept for value-based pricing: AI is not uniformly better. It is dramatically better on 'inside frontier' tasks (+25–40%) AND dramatically worse on 'outside frontier' tasks (−19pp). Price for the former; build guardrails for the latter.</t>
        </is>
      </c>
    </row>
    <row r="25" ht="30" customHeight="1" s="70">
      <c r="A25" s="77" t="inlineStr">
        <is>
          <t>Source  |  Dell'Acqua et al. — HBS 24-013 (PDF)  —  https://www.hbs.edu/ris/Publication%20Files/24-013_d9b45b68-9e74-42d6-a1c6-c72fb70c7282.pdf</t>
        </is>
      </c>
    </row>
    <row r="26" ht="30" customHeight="1" s="70">
      <c r="A26" s="77" t="inlineStr">
        <is>
          <t>Source  |  HBS — Jagged Frontier project page  —  https://www.hbs.edu/faculty/Pages/item.aspx?num=64700</t>
        </is>
      </c>
    </row>
    <row r="27" ht="30" customHeight="1" s="70">
      <c r="A27" s="77" t="inlineStr">
        <is>
          <t>Source  |  Harvard Crimson — BCG partnership  —  https://www.thecrimson.com/article/2023/10/13/jagged-edge-ai-bcg/</t>
        </is>
      </c>
    </row>
    <row r="28" ht="30" customHeight="1" s="70">
      <c r="A28" s="77" t="inlineStr">
        <is>
          <t>Source  |  SSRN paper  —  https://papers.ssrn.com/sol3/papers.cfm?abstract_id=4573321</t>
        </is>
      </c>
    </row>
  </sheetData>
  <mergeCells count="7">
    <mergeCell ref="A26:H26"/>
    <mergeCell ref="A25:H25"/>
    <mergeCell ref="A24:H24"/>
    <mergeCell ref="A2:H2"/>
    <mergeCell ref="A28:H28"/>
    <mergeCell ref="A1:H1"/>
    <mergeCell ref="A27:H27"/>
  </mergeCells>
  <hyperlinks>
    <hyperlink xmlns:r="http://schemas.openxmlformats.org/officeDocument/2006/relationships" ref="A25" display="Source  |  Dell'Acqua et al. — HBS 24-013 (PDF)  —  https://www.hbs.edu/ris/Publication%20Files/24-013_d9b45b68-9e74-42d6-a1c6-c72fb70c7282.pdf" r:id="rId1"/>
    <hyperlink xmlns:r="http://schemas.openxmlformats.org/officeDocument/2006/relationships" ref="A26" display="Source  |  HBS — Jagged Frontier project page  —  https://www.hbs.edu/faculty/Pages/item.aspx?num=64700" r:id="rId2"/>
    <hyperlink xmlns:r="http://schemas.openxmlformats.org/officeDocument/2006/relationships" ref="A27" display="Source  |  Harvard Crimson — BCG partnership  —  https://www.thecrimson.com/article/2023/10/13/jagged-edge-ai-bcg/" r:id="rId3"/>
    <hyperlink xmlns:r="http://schemas.openxmlformats.org/officeDocument/2006/relationships" ref="A28" display="Source  |  SSRN paper  —  https://papers.ssrn.com/sol3/papers.cfm?abstract_id=4573321" r:id="rId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5"/>
</worksheet>
</file>

<file path=xl/worksheets/sheet37.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S05  |  Sales AI delivers 10–15% productivity lift and ~1.3x odds of revenue growth — but headline 28% conversion claims are vendor-sourced</t>
        </is>
      </c>
    </row>
    <row r="2" ht="21.75" customHeight="1" s="70">
      <c r="A2" s="84" t="inlineStr">
        <is>
          <t>What is the credible uplift from AI-augmented sales — and where do vendor numbers diverge from research?</t>
        </is>
      </c>
    </row>
    <row r="4" ht="23.25" customHeight="1" s="70">
      <c r="A4" s="79" t="inlineStr">
        <is>
          <t>Source</t>
        </is>
      </c>
      <c r="B4" s="79" t="inlineStr">
        <is>
          <t>Population</t>
        </is>
      </c>
      <c r="C4" s="79" t="inlineStr">
        <is>
          <t>Result</t>
        </is>
      </c>
      <c r="D4" s="79" t="inlineStr">
        <is>
          <t>Evidence quality</t>
        </is>
      </c>
    </row>
    <row r="5" ht="34.5" customHeight="1" s="70">
      <c r="A5" s="86" t="inlineStr">
        <is>
          <t>Bain Sales Productivity (2025)</t>
        </is>
      </c>
      <c r="B5" s="87" t="inlineStr">
        <is>
          <t>Industry analysis</t>
        </is>
      </c>
      <c r="C5" s="87" t="inlineStr">
        <is>
          <t>10–15% productivity gain (pilots)</t>
        </is>
      </c>
      <c r="D5" s="87" t="inlineStr">
        <is>
          <t>Independent</t>
        </is>
      </c>
    </row>
    <row r="6" ht="23.25" customHeight="1" s="70">
      <c r="A6" s="88" t="inlineStr">
        <is>
          <t>Salesforce — Einstein 1 Sales</t>
        </is>
      </c>
      <c r="B6" s="89" t="inlineStr">
        <is>
          <t>Internal case studies</t>
        </is>
      </c>
      <c r="C6" s="89" t="inlineStr">
        <is>
          <t>3.5 hrs/day saved per seller</t>
        </is>
      </c>
      <c r="D6" s="89" t="inlineStr">
        <is>
          <t>Vendor self-report</t>
        </is>
      </c>
    </row>
    <row r="7" ht="23.25" customHeight="1" s="70">
      <c r="A7" s="86" t="inlineStr">
        <is>
          <t>Salesforce — revenue growth odds</t>
        </is>
      </c>
      <c r="B7" s="87" t="inlineStr">
        <is>
          <t>Customer survey</t>
        </is>
      </c>
      <c r="C7" s="87" t="inlineStr">
        <is>
          <t>1.3x more likely to grow</t>
        </is>
      </c>
      <c r="D7" s="87" t="inlineStr">
        <is>
          <t>Vendor study</t>
        </is>
      </c>
    </row>
    <row r="8" ht="23.25" customHeight="1" s="70">
      <c r="A8" s="88" t="inlineStr">
        <is>
          <t>HubSpot — AI productivity</t>
        </is>
      </c>
      <c r="B8" s="89" t="inlineStr">
        <is>
          <t>73% sales pros</t>
        </is>
      </c>
      <c r="C8" s="89" t="inlineStr">
        <is>
          <t>AI improved productivity</t>
        </is>
      </c>
      <c r="D8" s="89" t="inlineStr">
        <is>
          <t>Self-report</t>
        </is>
      </c>
    </row>
    <row r="9" ht="23.25" customHeight="1" s="70">
      <c r="A9" s="86" t="inlineStr">
        <is>
          <t>Predictive lead scoring (vendor)</t>
        </is>
      </c>
      <c r="B9" s="87" t="inlineStr">
        <is>
          <t>B2B SaaS case</t>
        </is>
      </c>
      <c r="C9" s="87" t="inlineStr">
        <is>
          <t>+28% conversion</t>
        </is>
      </c>
      <c r="D9" s="87" t="inlineStr">
        <is>
          <t>Single case, not RCT</t>
        </is>
      </c>
    </row>
    <row r="10" ht="23.25" customHeight="1" s="70">
      <c r="A10" s="88" t="inlineStr">
        <is>
          <t>AI deal coaching (vendor)</t>
        </is>
      </c>
      <c r="B10" s="89" t="inlineStr">
        <is>
          <t>Real-time intervention</t>
        </is>
      </c>
      <c r="C10" s="89" t="inlineStr">
        <is>
          <t>+19% win rate</t>
        </is>
      </c>
      <c r="D10" s="89" t="inlineStr">
        <is>
          <t>Single case</t>
        </is>
      </c>
    </row>
    <row r="12" ht="15" customHeight="1" s="70">
      <c r="A12" s="85" t="inlineStr">
        <is>
          <t>Chart data — sales productivity claims by evidence quality</t>
        </is>
      </c>
    </row>
    <row r="13" ht="15" customHeight="1" s="70">
      <c r="A13" s="79" t="inlineStr">
        <is>
          <t>Claim</t>
        </is>
      </c>
      <c r="B13" s="79" t="inlineStr">
        <is>
          <t>Effect %</t>
        </is>
      </c>
    </row>
    <row r="14" ht="15" customHeight="1" s="70">
      <c r="A14" s="86" t="inlineStr">
        <is>
          <t>Bain independent (pilots)</t>
        </is>
      </c>
      <c r="B14" s="87" t="n">
        <v>12</v>
      </c>
    </row>
    <row r="15" ht="15" customHeight="1" s="70">
      <c r="A15" s="88" t="inlineStr">
        <is>
          <t>Salesforce hours saved</t>
        </is>
      </c>
      <c r="B15" s="89" t="n">
        <v>50</v>
      </c>
    </row>
    <row r="16" ht="15" customHeight="1" s="70">
      <c r="A16" s="86" t="inlineStr">
        <is>
          <t>HubSpot self-report</t>
        </is>
      </c>
      <c r="B16" s="87" t="n">
        <v>73</v>
      </c>
    </row>
    <row r="17" ht="15" customHeight="1" s="70">
      <c r="A17" s="88" t="inlineStr">
        <is>
          <t>Vendor lead-scoring case</t>
        </is>
      </c>
      <c r="B17" s="89" t="n">
        <v>28</v>
      </c>
    </row>
    <row r="18" ht="15" customHeight="1" s="70">
      <c r="A18" s="86" t="inlineStr">
        <is>
          <t>Vendor deal coaching case</t>
        </is>
      </c>
      <c r="B18" s="87" t="n">
        <v>19</v>
      </c>
    </row>
    <row r="19" ht="54.75" customHeight="1" s="70">
      <c r="A19" s="90" t="inlineStr">
        <is>
          <t>Insight  |  Sales is the easiest function to over-claim because outcomes (conversion, win rate) move on a dozen variables. Bain's independent 10–15% pilot range is the defensible anchor; the 28%+ figures are single-case vendor stories. Value-pricing sales tooling: anchor at 10–15% rep-hour lift, NOT at outcome metrics you can't attribute.</t>
        </is>
      </c>
    </row>
    <row r="20" ht="30" customHeight="1" s="70">
      <c r="A20" s="77" t="inlineStr">
        <is>
          <t>Source  |  Bain — AI transforming productivity in sales  —  https://www.bain.com/insights/ai-transforming-productivity-sales-remains-new-frontier-technology-report-2025/</t>
        </is>
      </c>
    </row>
    <row r="21" ht="30" customHeight="1" s="70">
      <c r="A21" s="77" t="inlineStr">
        <is>
          <t>Source  |  Salesforce / HubSpot AI sales stats  —  https://blog.hubspot.com/sales/generative-ai-in-sales</t>
        </is>
      </c>
    </row>
  </sheetData>
  <mergeCells count="5">
    <mergeCell ref="A21:H21"/>
    <mergeCell ref="A20:H20"/>
    <mergeCell ref="A2:H2"/>
    <mergeCell ref="A19:H19"/>
    <mergeCell ref="A1:H1"/>
  </mergeCells>
  <hyperlinks>
    <hyperlink xmlns:r="http://schemas.openxmlformats.org/officeDocument/2006/relationships" ref="A20" display="Source  |  Bain — AI transforming productivity in sales  —  https://www.bain.com/insights/ai-transforming-productivity-sales-remains-new-frontier-technology-report-2025/" r:id="rId1"/>
    <hyperlink xmlns:r="http://schemas.openxmlformats.org/officeDocument/2006/relationships" ref="A21" display="Source  |  Salesforce / HubSpot AI sales stats  —  https://blog.hubspot.com/sales/generative-ai-in-sales"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xl/worksheets/sheet38.xml><?xml version="1.0" encoding="utf-8"?>
<worksheet xmlns="http://schemas.openxmlformats.org/spreadsheetml/2006/main">
  <sheetPr filterMode="0">
    <outlinePr summaryBelow="1" summaryRight="1"/>
    <pageSetUpPr fitToPage="0"/>
  </sheetPr>
  <dimension ref="A1:H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S06  |  Legal AI yields big speed gains, modest quality gains — JPMorgan COIN displaces 360,000 hours/year in contract review</t>
        </is>
      </c>
    </row>
    <row r="2" ht="21.75" customHeight="1" s="70">
      <c r="A2" s="84" t="inlineStr">
        <is>
          <t>Where does AI fit in legal work — and where does it stop?</t>
        </is>
      </c>
    </row>
    <row r="4" ht="15" customHeight="1" s="70">
      <c r="A4" s="79" t="inlineStr">
        <is>
          <t>Source</t>
        </is>
      </c>
      <c r="B4" s="79" t="inlineStr">
        <is>
          <t>Population</t>
        </is>
      </c>
      <c r="C4" s="79" t="inlineStr">
        <is>
          <t>Result</t>
        </is>
      </c>
      <c r="D4" s="79" t="inlineStr">
        <is>
          <t>Note</t>
        </is>
      </c>
    </row>
    <row r="5" ht="45.75" customHeight="1" s="70">
      <c r="A5" s="86" t="inlineStr">
        <is>
          <t>Choi &amp; Schwarcz — RCT (2024)</t>
        </is>
      </c>
      <c r="B5" s="87" t="inlineStr">
        <is>
          <t>Law students, GPT-4</t>
        </is>
      </c>
      <c r="C5" s="87" t="inlineStr">
        <is>
          <t>Significant speed gain; uneven quality lift</t>
        </is>
      </c>
      <c r="D5" s="87" t="inlineStr">
        <is>
          <t>Lower-skilled benefit most</t>
        </is>
      </c>
    </row>
    <row r="6" ht="34.5" customHeight="1" s="70">
      <c r="A6" s="88" t="inlineStr">
        <is>
          <t>Choi et al. — ChatGPT Goes to Law School</t>
        </is>
      </c>
      <c r="B6" s="89" t="inlineStr">
        <is>
          <t>Law school exams</t>
        </is>
      </c>
      <c r="C6" s="89" t="inlineStr">
        <is>
          <t>C+ average across 4 courses</t>
        </is>
      </c>
      <c r="D6" s="89" t="inlineStr">
        <is>
          <t>Pre-GPT-4 baseline</t>
        </is>
      </c>
    </row>
    <row r="7" ht="34.5" customHeight="1" s="70">
      <c r="A7" s="86" t="inlineStr">
        <is>
          <t>JPMorgan COIN</t>
        </is>
      </c>
      <c r="B7" s="87" t="inlineStr">
        <is>
          <t>Contract review</t>
        </is>
      </c>
      <c r="C7" s="87" t="inlineStr">
        <is>
          <t>360,000 lawyer-hours/year displaced</t>
        </is>
      </c>
      <c r="D7" s="87" t="inlineStr">
        <is>
          <t>~$144M labour value</t>
        </is>
      </c>
    </row>
    <row r="8" ht="23.25" customHeight="1" s="70">
      <c r="A8" s="88" t="inlineStr">
        <is>
          <t>JPMorgan COIN — error rate</t>
        </is>
      </c>
      <c r="B8" s="89" t="inlineStr">
        <is>
          <t>Compliance review</t>
        </is>
      </c>
      <c r="C8" s="89" t="inlineStr">
        <is>
          <t>−80% errors vs manual</t>
        </is>
      </c>
      <c r="D8" s="89" t="inlineStr">
        <is>
          <t>Medium-risk band</t>
        </is>
      </c>
    </row>
    <row r="9" ht="23.25" customHeight="1" s="70">
      <c r="A9" s="86" t="inlineStr">
        <is>
          <t>JPMorgan COIN — throughput</t>
        </is>
      </c>
      <c r="B9" s="87" t="inlineStr">
        <is>
          <t>Document processing</t>
        </is>
      </c>
      <c r="C9" s="87" t="inlineStr">
        <is>
          <t>12,000 docs in seconds</t>
        </is>
      </c>
      <c r="D9" s="87" t="inlineStr">
        <is>
          <t>vs weeks manual</t>
        </is>
      </c>
    </row>
    <row r="11" ht="15" customHeight="1" s="70">
      <c r="A11" s="85" t="inlineStr">
        <is>
          <t>Chart data — JPMorgan COIN scale</t>
        </is>
      </c>
    </row>
    <row r="12" ht="15" customHeight="1" s="70">
      <c r="A12" s="79" t="inlineStr">
        <is>
          <t>Metric</t>
        </is>
      </c>
      <c r="B12" s="79" t="inlineStr">
        <is>
          <t>Value</t>
        </is>
      </c>
    </row>
    <row r="13" ht="15" customHeight="1" s="70">
      <c r="A13" s="86" t="inlineStr">
        <is>
          <t>Lawyer hours displaced (000s, annual)</t>
        </is>
      </c>
      <c r="B13" s="87" t="n">
        <v>360</v>
      </c>
    </row>
    <row r="14" ht="15" customHeight="1" s="70">
      <c r="A14" s="88" t="inlineStr">
        <is>
          <t>Labour value displaced ($M, annual)</t>
        </is>
      </c>
      <c r="B14" s="89" t="n">
        <v>144</v>
      </c>
    </row>
    <row r="15" ht="15" customHeight="1" s="70">
      <c r="A15" s="86" t="inlineStr">
        <is>
          <t>Error rate reduction %</t>
        </is>
      </c>
      <c r="B15" s="87" t="n">
        <v>80</v>
      </c>
    </row>
    <row r="16" ht="54.75" customHeight="1" s="70">
      <c r="A16" s="90" t="inlineStr">
        <is>
          <t>Insight  |  Legal AI compresses a narrow task — contract document extraction — by 1,000x+ (12K docs in seconds). On legal reasoning, RCT evidence shows speed &gt;&gt; quality — AI passes law exams at C+ level. The lesson: monetise narrow document tasks at high savings multiples; do not over-claim reasoning-level value.</t>
        </is>
      </c>
    </row>
    <row r="17" ht="30" customHeight="1" s="70">
      <c r="A17" s="77" t="inlineStr">
        <is>
          <t>Source  |  Choi &amp; Schwarcz — AI Assistance in Legal Analysis (SSRN)  —  https://papers.ssrn.com/sol3/papers.cfm?abstract_id=4539836</t>
        </is>
      </c>
    </row>
    <row r="18" ht="30" customHeight="1" s="70">
      <c r="A18" s="77" t="inlineStr">
        <is>
          <t>Source  |  Choi et al. — Lawyering in the Age of AI (SSRN)  —  https://ssrn.com/abstract=4626276</t>
        </is>
      </c>
    </row>
    <row r="19" ht="30" customHeight="1" s="70">
      <c r="A19" s="77" t="inlineStr">
        <is>
          <t>Source  |  Choi et al. — ChatGPT Goes to Law School (SSRN)  —  https://papers.ssrn.com/sol3/papers.cfm?abstract_id=4335905</t>
        </is>
      </c>
    </row>
    <row r="20" ht="30" customHeight="1" s="70">
      <c r="A20" s="77" t="inlineStr">
        <is>
          <t>Source  |  JPMorgan COIN — ABA Journal  —  https://www.abajournal.com/news/article/jpmorgan_chase_uses_tech_to_save_360000_hours_of_annual_work_by_lawyers_and</t>
        </is>
      </c>
    </row>
  </sheetData>
  <mergeCells count="7">
    <mergeCell ref="A18:H18"/>
    <mergeCell ref="A20:H20"/>
    <mergeCell ref="A2:H2"/>
    <mergeCell ref="A16:H16"/>
    <mergeCell ref="A19:H19"/>
    <mergeCell ref="A1:H1"/>
    <mergeCell ref="A17:H17"/>
  </mergeCells>
  <hyperlinks>
    <hyperlink xmlns:r="http://schemas.openxmlformats.org/officeDocument/2006/relationships" ref="A17" display="Source  |  Choi &amp; Schwarcz — AI Assistance in Legal Analysis (SSRN)  —  https://papers.ssrn.com/sol3/papers.cfm?abstract_id=4539836" r:id="rId1"/>
    <hyperlink xmlns:r="http://schemas.openxmlformats.org/officeDocument/2006/relationships" ref="A18" display="Source  |  Choi et al. — Lawyering in the Age of AI (SSRN)  —  https://ssrn.com/abstract=4626276" r:id="rId2"/>
    <hyperlink xmlns:r="http://schemas.openxmlformats.org/officeDocument/2006/relationships" ref="A19" display="Source  |  Choi et al. — ChatGPT Goes to Law School (SSRN)  —  https://papers.ssrn.com/sol3/papers.cfm?abstract_id=4335905" r:id="rId3"/>
    <hyperlink xmlns:r="http://schemas.openxmlformats.org/officeDocument/2006/relationships" ref="A20" display="Source  |  JPMorgan COIN — ABA Journal  —  https://www.abajournal.com/news/article/jpmorgan_chase_uses_tech_to_save_360000_hours_of_annual_work_by_lawyers_and" r:id="rId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5"/>
</worksheet>
</file>

<file path=xl/worksheets/sheet39.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S07  |  AI medical scribes cut documentation 16 min / 8-hr shift and reduce physician burnout from 52% to 39%</t>
        </is>
      </c>
    </row>
    <row r="2" ht="21.75" customHeight="1" s="70">
      <c r="A2" s="84" t="inlineStr">
        <is>
          <t>What is the measured impact of AI in healthcare clinical workflow?</t>
        </is>
      </c>
    </row>
    <row r="4" ht="15" customHeight="1" s="70">
      <c r="A4" s="79" t="inlineStr">
        <is>
          <t>Source</t>
        </is>
      </c>
      <c r="B4" s="79" t="inlineStr">
        <is>
          <t>Population</t>
        </is>
      </c>
      <c r="C4" s="79" t="inlineStr">
        <is>
          <t>Result</t>
        </is>
      </c>
      <c r="D4" s="79" t="inlineStr">
        <is>
          <t>Quality</t>
        </is>
      </c>
    </row>
    <row r="5" ht="34.5" customHeight="1" s="70">
      <c r="A5" s="86" t="inlineStr">
        <is>
          <t>TPMG (Permanente, 63 weeks)</t>
        </is>
      </c>
      <c r="B5" s="87" t="inlineStr">
        <is>
          <t>Physicians, ambient scribe</t>
        </is>
      </c>
      <c r="C5" s="87" t="inlineStr">
        <is>
          <t>15,791 hours saved (≈1,794 workdays)</t>
        </is>
      </c>
      <c r="D5" s="87" t="inlineStr">
        <is>
          <t>Real-world deployment</t>
        </is>
      </c>
    </row>
    <row r="6" ht="34.5" customHeight="1" s="70">
      <c r="A6" s="88" t="inlineStr">
        <is>
          <t>5 academic medical centres (2023–2025)</t>
        </is>
      </c>
      <c r="B6" s="89" t="inlineStr">
        <is>
          <t>1,800 clinicians</t>
        </is>
      </c>
      <c r="C6" s="89" t="inlineStr">
        <is>
          <t>16 min/8hr saved, 13 min less in EHR</t>
        </is>
      </c>
      <c r="D6" s="89" t="inlineStr">
        <is>
          <t>+1 patient / 2 weeks</t>
        </is>
      </c>
    </row>
    <row r="7" ht="34.5" customHeight="1" s="70">
      <c r="A7" s="86" t="inlineStr">
        <is>
          <t>JAMA Open — burnout study</t>
        </is>
      </c>
      <c r="B7" s="87" t="inlineStr">
        <is>
          <t>263 physicians, 6 systems</t>
        </is>
      </c>
      <c r="C7" s="87" t="inlineStr">
        <is>
          <t>Burnout 51.9% → 38.8% in 30 days</t>
        </is>
      </c>
      <c r="D7" s="87" t="inlineStr">
        <is>
          <t>Quality improvement design</t>
        </is>
      </c>
    </row>
    <row r="8" ht="23.25" customHeight="1" s="70">
      <c r="A8" s="88" t="inlineStr">
        <is>
          <t>UCLA RCT (2024–2025)</t>
        </is>
      </c>
      <c r="B8" s="89" t="inlineStr">
        <is>
          <t>Randomised assignment</t>
        </is>
      </c>
      <c r="C8" s="89" t="inlineStr">
        <is>
          <t>Documentation time reduced</t>
        </is>
      </c>
      <c r="D8" s="89" t="inlineStr">
        <is>
          <t>Comparing 2 tools</t>
        </is>
      </c>
    </row>
    <row r="9" ht="34.5" customHeight="1" s="70">
      <c r="A9" s="86" t="inlineStr">
        <is>
          <t>McKinsey healthcare AI</t>
        </is>
      </c>
      <c r="B9" s="87" t="inlineStr">
        <is>
          <t>US healthcare TAM</t>
        </is>
      </c>
      <c r="C9" s="87" t="inlineStr">
        <is>
          <t>$200–360B annual savings potential</t>
        </is>
      </c>
      <c r="D9" s="87" t="inlineStr">
        <is>
          <t>5–10% spending</t>
        </is>
      </c>
    </row>
    <row r="11" ht="15" customHeight="1" s="70">
      <c r="A11" s="85" t="inlineStr">
        <is>
          <t>Chart data — burnout reduction with AI scribes</t>
        </is>
      </c>
    </row>
    <row r="12" ht="23.25" customHeight="1" s="70">
      <c r="A12" s="79" t="inlineStr">
        <is>
          <t>State</t>
        </is>
      </c>
      <c r="B12" s="79" t="inlineStr">
        <is>
          <t>% of physicians</t>
        </is>
      </c>
    </row>
    <row r="13" ht="15" customHeight="1" s="70">
      <c r="A13" s="86" t="inlineStr">
        <is>
          <t>Burnout before AI scribe</t>
        </is>
      </c>
      <c r="B13" s="87" t="n">
        <v>52</v>
      </c>
    </row>
    <row r="14" ht="15" customHeight="1" s="70">
      <c r="A14" s="88" t="inlineStr">
        <is>
          <t>Burnout after (30 days)</t>
        </is>
      </c>
      <c r="B14" s="89" t="n">
        <v>39</v>
      </c>
    </row>
    <row r="15" ht="54.75" customHeight="1" s="70">
      <c r="A15" s="90" t="inlineStr">
        <is>
          <t>Insight  |  Healthcare is the clearest 'value AND time' case: 16 min saved per shift translates to one extra patient every two weeks. Burnout drops 13pp in 30 days. This is the kind of measurable, paid-for outcome that supports premium pricing — but the McKinsey $200–360B TAM remains theoretical until reimbursement codes follow.</t>
        </is>
      </c>
    </row>
    <row r="16" ht="30" customHeight="1" s="70">
      <c r="A16" s="77" t="inlineStr">
        <is>
          <t>Source  |  AMA — AI scribes save 15,000 hours  —  https://www.ama-assn.org/practice-management/digital-health/ai-scribes-save-15000-hours-and-restore-human-side-medicine</t>
        </is>
      </c>
    </row>
    <row r="17" ht="30" customHeight="1" s="70">
      <c r="A17" s="77" t="inlineStr">
        <is>
          <t>Source  |  JAMA Network Open — Ambient AI scribes  —  https://jamanetwork.com/journals/jamanetworkopen/fullarticle/2839542</t>
        </is>
      </c>
    </row>
    <row r="18" ht="30" customHeight="1" s="70">
      <c r="A18" s="77" t="inlineStr">
        <is>
          <t>Source  |  STAT — Large AI scribe study findings  —  https://www.statnews.com/2026/04/01/ai-ambient-scribes-modest-time-savings-clinical-documentation/</t>
        </is>
      </c>
    </row>
    <row r="19" ht="30" customHeight="1" s="70">
      <c r="A19" s="77" t="inlineStr">
        <is>
          <t>Source  |  McKinsey — AI in healthcare $200–360B  —  https://www.mckinsey.com/industries/healthcare/our-insights/generative-ai-in-healthcare-current-trends-and-future-outlook</t>
        </is>
      </c>
    </row>
  </sheetData>
  <mergeCells count="7">
    <mergeCell ref="A18:H18"/>
    <mergeCell ref="A15:H15"/>
    <mergeCell ref="A2:H2"/>
    <mergeCell ref="A16:H16"/>
    <mergeCell ref="A19:H19"/>
    <mergeCell ref="A1:H1"/>
    <mergeCell ref="A17:H17"/>
  </mergeCells>
  <hyperlinks>
    <hyperlink xmlns:r="http://schemas.openxmlformats.org/officeDocument/2006/relationships" ref="A16" display="Source  |  AMA — AI scribes save 15,000 hours  —  https://www.ama-assn.org/practice-management/digital-health/ai-scribes-save-15000-hours-and-restore-human-side-medicine" r:id="rId1"/>
    <hyperlink xmlns:r="http://schemas.openxmlformats.org/officeDocument/2006/relationships" ref="A17" display="Source  |  JAMA Network Open — Ambient AI scribes  —  https://jamanetwork.com/journals/jamanetworkopen/fullarticle/2839542" r:id="rId2"/>
    <hyperlink xmlns:r="http://schemas.openxmlformats.org/officeDocument/2006/relationships" ref="A18" display="Source  |  STAT — Large AI scribe study findings  —  https://www.statnews.com/2026/04/01/ai-ambient-scribes-modest-time-savings-clinical-documentation/" r:id="rId3"/>
    <hyperlink xmlns:r="http://schemas.openxmlformats.org/officeDocument/2006/relationships" ref="A19" display="Source  |  McKinsey — AI in healthcare $200–360B  —  https://www.mckinsey.com/industries/healthcare/our-insights/generative-ai-in-healthcare-current-trends-and-future-outlook" r:id="rId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5"/>
</worksheet>
</file>

<file path=xl/worksheets/sheet40.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S08  |  Finance back-office automation is where MIT NANDA finds the highest realised ROI — but IBM's headcount story shows redeployment, not reduction</t>
        </is>
      </c>
    </row>
    <row r="2" ht="21.75" customHeight="1" s="70">
      <c r="A2" s="84" t="inlineStr">
        <is>
          <t>What is the actual savings pattern in finance and operations back-office automation?</t>
        </is>
      </c>
    </row>
    <row r="4" ht="15" customHeight="1" s="70">
      <c r="A4" s="79" t="inlineStr">
        <is>
          <t>Source</t>
        </is>
      </c>
      <c r="B4" s="79" t="inlineStr">
        <is>
          <t>Scope</t>
        </is>
      </c>
      <c r="C4" s="79" t="inlineStr">
        <is>
          <t>Result</t>
        </is>
      </c>
      <c r="D4" s="79" t="inlineStr">
        <is>
          <t>Note</t>
        </is>
      </c>
    </row>
    <row r="5" ht="34.5" customHeight="1" s="70">
      <c r="A5" s="86" t="inlineStr">
        <is>
          <t>MIT NANDA — biggest ROI</t>
        </is>
      </c>
      <c r="B5" s="87" t="inlineStr">
        <is>
          <t>Enterprise spend analysis</t>
        </is>
      </c>
      <c r="C5" s="87" t="inlineStr">
        <is>
          <t>Back-office automation &gt; sales/marketing</t>
        </is>
      </c>
      <c r="D5" s="87" t="inlineStr">
        <is>
          <t>Despite budget being skewed to front office</t>
        </is>
      </c>
    </row>
    <row r="6" ht="23.25" customHeight="1" s="70">
      <c r="A6" s="88" t="inlineStr">
        <is>
          <t>IBM AskHR agent</t>
        </is>
      </c>
      <c r="B6" s="89" t="inlineStr">
        <is>
          <t>HR routine tasks</t>
        </is>
      </c>
      <c r="C6" s="89" t="inlineStr">
        <is>
          <t>94% of tasks automated</t>
        </is>
      </c>
      <c r="D6" s="89" t="inlineStr">
        <is>
          <t>~200 HR roles displaced</t>
        </is>
      </c>
    </row>
    <row r="7" ht="34.5" customHeight="1" s="70">
      <c r="A7" s="86" t="inlineStr">
        <is>
          <t>IBM — total headcount</t>
        </is>
      </c>
      <c r="B7" s="87" t="inlineStr">
        <is>
          <t>Same period as AskHR</t>
        </is>
      </c>
      <c r="C7" s="87" t="inlineStr">
        <is>
          <t>TOTAL headcount UP</t>
        </is>
      </c>
      <c r="D7" s="87" t="inlineStr">
        <is>
          <t>Krishna: redeployed to eng/sales</t>
        </is>
      </c>
    </row>
    <row r="8" ht="23.25" customHeight="1" s="70">
      <c r="A8" s="88" t="inlineStr">
        <is>
          <t>McKinsey — healthcare revenue cycle</t>
        </is>
      </c>
      <c r="B8" s="89" t="inlineStr">
        <is>
          <t>Touchless RCM</t>
        </is>
      </c>
      <c r="C8" s="89" t="inlineStr">
        <is>
          <t>30–60% cost-to-collect reduction</t>
        </is>
      </c>
      <c r="D8" s="89" t="inlineStr">
        <is>
          <t>Function-level case</t>
        </is>
      </c>
    </row>
    <row r="9" ht="23.25" customHeight="1" s="70">
      <c r="A9" s="86" t="inlineStr">
        <is>
          <t>McKinsey — IT/software/manufacturing cost</t>
        </is>
      </c>
      <c r="B9" s="87" t="inlineStr">
        <is>
          <t>Enterprise survey 2025</t>
        </is>
      </c>
      <c r="C9" s="87" t="inlineStr">
        <is>
          <t>10–20% cost savings</t>
        </is>
      </c>
      <c r="D9" s="87" t="inlineStr">
        <is>
          <t>Function level</t>
        </is>
      </c>
    </row>
    <row r="11" ht="15" customHeight="1" s="70">
      <c r="A11" s="85" t="inlineStr">
        <is>
          <t>Chart data — back-office vs front-office ROI signal</t>
        </is>
      </c>
    </row>
    <row r="12" ht="15" customHeight="1" s="70">
      <c r="A12" s="79" t="inlineStr">
        <is>
          <t>Allocation vs ROI</t>
        </is>
      </c>
      <c r="B12" s="79" t="inlineStr">
        <is>
          <t>%</t>
        </is>
      </c>
    </row>
    <row r="13" ht="15" customHeight="1" s="70">
      <c r="A13" s="86" t="inlineStr">
        <is>
          <t>Sales/Marketing budget share</t>
        </is>
      </c>
      <c r="B13" s="87" t="n">
        <v>55</v>
      </c>
    </row>
    <row r="14" ht="15" customHeight="1" s="70">
      <c r="A14" s="88" t="inlineStr">
        <is>
          <t>Back-office budget share</t>
        </is>
      </c>
      <c r="B14" s="89" t="n">
        <v>45</v>
      </c>
    </row>
    <row r="15" ht="15" customHeight="1" s="70">
      <c r="A15" s="86" t="inlineStr">
        <is>
          <t>Sales/Marketing where ROI is</t>
        </is>
      </c>
      <c r="B15" s="87" t="n">
        <v>30</v>
      </c>
    </row>
    <row r="16" ht="15" customHeight="1" s="70">
      <c r="A16" s="88" t="inlineStr">
        <is>
          <t>Back-office where ROI is</t>
        </is>
      </c>
      <c r="B16" s="89" t="n">
        <v>70</v>
      </c>
    </row>
    <row r="17" ht="54.75" customHeight="1" s="70">
      <c r="A17" s="90" t="inlineStr">
        <is>
          <t>Insight  |  The IBM playbook is the contra-Salesforce: automate routine tasks (94% of HR queries), redeploy headcount, total payroll stays up. Krishna explicitly says total IBM employment increased. This is the credible 'AI uplift = 20–40% per function, total workforce stable' model that defends against 'AI = mass layoff' narratives.</t>
        </is>
      </c>
    </row>
    <row r="18" ht="30" customHeight="1" s="70">
      <c r="A18" s="77" t="inlineStr">
        <is>
          <t>Source  |  Entrepreneur — IBM HR AI replacement  —  https://www.entrepreneur.com/business-news/ibm-ceo-ai-replaced-hundreds-of-human-resources-staff/491341</t>
        </is>
      </c>
    </row>
    <row r="19" ht="30" customHeight="1" s="70">
      <c r="A19" s="77" t="inlineStr">
        <is>
          <t>Source  |  AIC — IBM total employment up  —  https://aicommission.org/2025/05/our-total-employment-has-gone-up-what-ibm-ceo-arvind-krishna-says-on-ai-replacing-several-hundred-jobs/</t>
        </is>
      </c>
    </row>
    <row r="20" ht="30" customHeight="1" s="70">
      <c r="A20" s="77" t="inlineStr">
        <is>
          <t>Source  |  MIT NANDA — back-office ROI finding  —  https://mlq.ai/media/quarterly_decks/v0.1_State_of_AI_in_Business_2025_Report.pdf</t>
        </is>
      </c>
    </row>
    <row r="21" ht="30" customHeight="1" s="70">
      <c r="A21" s="77" t="inlineStr">
        <is>
          <t>Source  |  McKinsey — Agentic AI revenue cycle  —  https://www.mckinsey.com/industries/healthcare/our-insights/agentic-ai-and-the-race-to-a-touchless-revenue-cycle</t>
        </is>
      </c>
    </row>
  </sheetData>
  <mergeCells count="7">
    <mergeCell ref="A18:H18"/>
    <mergeCell ref="A21:H21"/>
    <mergeCell ref="A20:H20"/>
    <mergeCell ref="A2:H2"/>
    <mergeCell ref="A19:H19"/>
    <mergeCell ref="A1:H1"/>
    <mergeCell ref="A17:H17"/>
  </mergeCells>
  <hyperlinks>
    <hyperlink xmlns:r="http://schemas.openxmlformats.org/officeDocument/2006/relationships" ref="A18" display="Source  |  Entrepreneur — IBM HR AI replacement  —  https://www.entrepreneur.com/business-news/ibm-ceo-ai-replaced-hundreds-of-human-resources-staff/491341" r:id="rId1"/>
    <hyperlink xmlns:r="http://schemas.openxmlformats.org/officeDocument/2006/relationships" ref="A19" display="Source  |  AIC — IBM total employment up  —  https://aicommission.org/2025/05/our-total-employment-has-gone-up-what-ibm-ceo-arvind-krishna-says-on-ai-replacing-several-hundred-jobs/" r:id="rId2"/>
    <hyperlink xmlns:r="http://schemas.openxmlformats.org/officeDocument/2006/relationships" ref="A20" display="Source  |  MIT NANDA — back-office ROI finding  —  https://mlq.ai/media/quarterly_decks/v0.1_State_of_AI_in_Business_2025_Report.pdf" r:id="rId3"/>
    <hyperlink xmlns:r="http://schemas.openxmlformats.org/officeDocument/2006/relationships" ref="A21" display="Source  |  McKinsey — Agentic AI revenue cycle  —  https://www.mckinsey.com/industries/healthcare/our-insights/agentic-ai-and-the-race-to-a-touchless-revenue-cycle" r:id="rId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5"/>
</worksheet>
</file>

<file path=xl/worksheets/sheet41.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S09  |  Manufacturing is the closest the data gets to a '10x' case — McKinsey lighthouses show 2–3x productivity and 99% defect reduction</t>
        </is>
      </c>
    </row>
    <row r="2" ht="21.75" customHeight="1" s="70">
      <c r="A2" s="84" t="inlineStr">
        <is>
          <t>Is manufacturing the exception that proves the rule?</t>
        </is>
      </c>
    </row>
    <row r="4" ht="15" customHeight="1" s="70">
      <c r="A4" s="79" t="inlineStr">
        <is>
          <t>Case</t>
        </is>
      </c>
      <c r="B4" s="79" t="inlineStr">
        <is>
          <t>Scope</t>
        </is>
      </c>
      <c r="C4" s="79" t="inlineStr">
        <is>
          <t>Result</t>
        </is>
      </c>
      <c r="D4" s="79" t="inlineStr">
        <is>
          <t>Note</t>
        </is>
      </c>
    </row>
    <row r="5" ht="23.25" customHeight="1" s="70">
      <c r="A5" s="86" t="inlineStr">
        <is>
          <t>McKinsey manufacturing lighthouses</t>
        </is>
      </c>
      <c r="B5" s="87" t="inlineStr">
        <is>
          <t>Cross-industry case studies</t>
        </is>
      </c>
      <c r="C5" s="87" t="inlineStr">
        <is>
          <t>2–3x productivity</t>
        </is>
      </c>
      <c r="D5" s="87" t="inlineStr">
        <is>
          <t>Selected high-performers</t>
        </is>
      </c>
    </row>
    <row r="6" ht="23.25" customHeight="1" s="70">
      <c r="A6" s="88" t="inlineStr">
        <is>
          <t>McKinsey — defect reduction</t>
        </is>
      </c>
      <c r="B6" s="89" t="inlineStr">
        <is>
          <t>Same cohort</t>
        </is>
      </c>
      <c r="C6" s="89" t="inlineStr">
        <is>
          <t>99% defect reduction</t>
        </is>
      </c>
      <c r="D6" s="89" t="inlineStr">
        <is>
          <t>AI computer vision</t>
        </is>
      </c>
    </row>
    <row r="7" ht="23.25" customHeight="1" s="70">
      <c r="A7" s="86" t="inlineStr">
        <is>
          <t>McKinsey — service levels</t>
        </is>
      </c>
      <c r="B7" s="87" t="inlineStr">
        <is>
          <t>Same cohort</t>
        </is>
      </c>
      <c r="C7" s="87" t="inlineStr">
        <is>
          <t>+50% service-level lift</t>
        </is>
      </c>
      <c r="D7" s="87" t="n"/>
    </row>
    <row r="8" ht="15" customHeight="1" s="70">
      <c r="A8" s="88" t="inlineStr">
        <is>
          <t>McKinsey — energy consumption</t>
        </is>
      </c>
      <c r="B8" s="89" t="inlineStr">
        <is>
          <t>Same cohort</t>
        </is>
      </c>
      <c r="C8" s="89" t="inlineStr">
        <is>
          <t>−30% energy</t>
        </is>
      </c>
      <c r="D8" s="89" t="n"/>
    </row>
    <row r="9" ht="34.5" customHeight="1" s="70">
      <c r="A9" s="86" t="inlineStr">
        <is>
          <t>CITIC Pacific Special Steel</t>
        </is>
      </c>
      <c r="B9" s="87" t="inlineStr">
        <is>
          <t>Blast furnace AI</t>
        </is>
      </c>
      <c r="C9" s="87" t="inlineStr">
        <is>
          <t>+15% throughput, −11% energy</t>
        </is>
      </c>
      <c r="D9" s="87" t="inlineStr">
        <is>
          <t>Single plant</t>
        </is>
      </c>
    </row>
    <row r="10" ht="23.25" customHeight="1" s="70">
      <c r="A10" s="88" t="inlineStr">
        <is>
          <t>Agilent</t>
        </is>
      </c>
      <c r="B10" s="89" t="inlineStr">
        <is>
          <t>Computer vision defect</t>
        </is>
      </c>
      <c r="C10" s="89" t="inlineStr">
        <is>
          <t>−49% defect rate in 4 months</t>
        </is>
      </c>
      <c r="D10" s="89" t="inlineStr">
        <is>
          <t>Single deployment</t>
        </is>
      </c>
    </row>
    <row r="11" ht="23.25" customHeight="1" s="70">
      <c r="A11" s="86" t="inlineStr">
        <is>
          <t>Mondelēz Beijing</t>
        </is>
      </c>
      <c r="B11" s="87" t="inlineStr">
        <is>
          <t>Baking facility</t>
        </is>
      </c>
      <c r="C11" s="87" t="inlineStr">
        <is>
          <t>&gt;2x productivity, −70% waste</t>
        </is>
      </c>
      <c r="D11" s="87" t="inlineStr">
        <is>
          <t>Single plant</t>
        </is>
      </c>
    </row>
    <row r="12" ht="23.25" customHeight="1" s="70">
      <c r="A12" s="88" t="inlineStr">
        <is>
          <t>SQM (Chile)</t>
        </is>
      </c>
      <c r="B12" s="89" t="inlineStr">
        <is>
          <t>Lithium production</t>
        </is>
      </c>
      <c r="C12" s="89" t="inlineStr">
        <is>
          <t>+60% output, −20% cost</t>
        </is>
      </c>
      <c r="D12" s="89" t="inlineStr">
        <is>
          <t>Single operation</t>
        </is>
      </c>
    </row>
    <row r="14" ht="15" customHeight="1" s="70">
      <c r="A14" s="85" t="inlineStr">
        <is>
          <t>Chart data — McKinsey lighthouses headline KPIs</t>
        </is>
      </c>
    </row>
    <row r="15" ht="15" customHeight="1" s="70">
      <c r="A15" s="79" t="inlineStr">
        <is>
          <t>KPI</t>
        </is>
      </c>
      <c r="B15" s="79" t="inlineStr">
        <is>
          <t>% change</t>
        </is>
      </c>
    </row>
    <row r="16" ht="15" customHeight="1" s="70">
      <c r="A16" s="86" t="inlineStr">
        <is>
          <t>Productivity multiplier</t>
        </is>
      </c>
      <c r="B16" s="87" t="n">
        <v>250</v>
      </c>
    </row>
    <row r="17" ht="15" customHeight="1" s="70">
      <c r="A17" s="88" t="inlineStr">
        <is>
          <t>Defect reduction</t>
        </is>
      </c>
      <c r="B17" s="89" t="n">
        <v>99</v>
      </c>
    </row>
    <row r="18" ht="15" customHeight="1" s="70">
      <c r="A18" s="86" t="inlineStr">
        <is>
          <t>Service level improvement</t>
        </is>
      </c>
      <c r="B18" s="87" t="n">
        <v>50</v>
      </c>
    </row>
    <row r="19" ht="15" customHeight="1" s="70">
      <c r="A19" s="88" t="inlineStr">
        <is>
          <t>Energy reduction</t>
        </is>
      </c>
      <c r="B19" s="89" t="n">
        <v>30</v>
      </c>
    </row>
    <row r="20" ht="54.75" customHeight="1" s="70">
      <c r="A20" s="90" t="inlineStr">
        <is>
          <t>Insight  |  Manufacturing is the one sector where '10x' is real — but ONLY in lighthouses (top-decile facilities) on narrow process KPIs. Most factories see 20–60% on selected KPIs, not 2–3x. The lighthouse data is genuine; the average factory experience is not. Use as evidence that AI can deliver — but only in fully-integrated production processes.</t>
        </is>
      </c>
    </row>
    <row r="21" ht="30" customHeight="1" s="70">
      <c r="A21" s="77" t="inlineStr">
        <is>
          <t>Source  |  McKinsey — Manufacturing lighthouses generative AI  —  https://www.mckinsey.com/capabilities/operations/our-insights/how-manufacturings-lighthouses-are-capturing-the-full-value-of-ai</t>
        </is>
      </c>
    </row>
    <row r="22" ht="30" customHeight="1" s="70">
      <c r="A22" s="77" t="inlineStr">
        <is>
          <t>Source  |  McKinsey — From pilots to performance (COO)  —  https://www.mckinsey.com/capabilities/operations/our-insights/from-pilots-to-performance-how-coos-can-scale-ai-in-manufacturing</t>
        </is>
      </c>
    </row>
  </sheetData>
  <mergeCells count="5">
    <mergeCell ref="A21:H21"/>
    <mergeCell ref="A20:H20"/>
    <mergeCell ref="A2:H2"/>
    <mergeCell ref="A1:H1"/>
    <mergeCell ref="A22:H22"/>
  </mergeCells>
  <hyperlinks>
    <hyperlink xmlns:r="http://schemas.openxmlformats.org/officeDocument/2006/relationships" ref="A21" display="Source  |  McKinsey — Manufacturing lighthouses generative AI  —  https://www.mckinsey.com/capabilities/operations/our-insights/how-manufacturings-lighthouses-are-capturing-the-full-value-of-ai" r:id="rId1"/>
    <hyperlink xmlns:r="http://schemas.openxmlformats.org/officeDocument/2006/relationships" ref="A22" display="Source  |  McKinsey — From pilots to performance (COO)  —  https://www.mckinsey.com/capabilities/operations/our-insights/from-pilots-to-performance-how-coos-can-scale-ai-in-manufacturing"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xl/worksheets/sheet42.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S10  |  AEC industry tracks 20–30% productivity and 50% waste reduction from AI-BIM integration — but evidence is mostly modelling, not RCT</t>
        </is>
      </c>
    </row>
    <row r="2" ht="21.75" customHeight="1" s="70">
      <c r="A2" s="84" t="inlineStr">
        <is>
          <t>How real are AI gains in architecture, engineering, and construction?</t>
        </is>
      </c>
    </row>
    <row r="4" ht="15" customHeight="1" s="70">
      <c r="A4" s="79" t="inlineStr">
        <is>
          <t>Source</t>
        </is>
      </c>
      <c r="B4" s="79" t="inlineStr">
        <is>
          <t>Scope</t>
        </is>
      </c>
      <c r="C4" s="79" t="inlineStr">
        <is>
          <t>Result</t>
        </is>
      </c>
      <c r="D4" s="79" t="inlineStr">
        <is>
          <t>Note</t>
        </is>
      </c>
    </row>
    <row r="5" ht="45.75" customHeight="1" s="70">
      <c r="A5" s="86" t="inlineStr">
        <is>
          <t>Springer / Umm Al-Qura review (2025)</t>
        </is>
      </c>
      <c r="B5" s="87" t="inlineStr">
        <is>
          <t>Systematic literature</t>
        </is>
      </c>
      <c r="C5" s="87" t="inlineStr">
        <is>
          <t>+20–30% productivity, −20% cost, −50% waste</t>
        </is>
      </c>
      <c r="D5" s="87" t="inlineStr">
        <is>
          <t>Modelling-based, not RCT</t>
        </is>
      </c>
    </row>
    <row r="6" ht="23.25" customHeight="1" s="70">
      <c r="A6" s="88" t="inlineStr">
        <is>
          <t>AI-BIM clash detection</t>
        </is>
      </c>
      <c r="B6" s="89" t="inlineStr">
        <is>
          <t>Conventional projects</t>
        </is>
      </c>
      <c r="C6" s="89" t="inlineStr">
        <is>
          <t>15% of project time</t>
        </is>
      </c>
      <c r="D6" s="89" t="inlineStr">
        <is>
          <t>Time AI can compress</t>
        </is>
      </c>
    </row>
    <row r="7" ht="34.5" customHeight="1" s="70">
      <c r="A7" s="86" t="inlineStr">
        <is>
          <t>Autodesk Digital Builder 2025</t>
        </is>
      </c>
      <c r="B7" s="87" t="inlineStr">
        <is>
          <t>Industry survey</t>
        </is>
      </c>
      <c r="C7" s="87" t="inlineStr">
        <is>
          <t>AI for labour shortage mitigation</t>
        </is>
      </c>
      <c r="D7" s="87" t="inlineStr">
        <is>
          <t>Industry self-report</t>
        </is>
      </c>
    </row>
    <row r="8" ht="34.5" customHeight="1" s="70">
      <c r="A8" s="88" t="inlineStr">
        <is>
          <t>Construction AI market growth</t>
        </is>
      </c>
      <c r="B8" s="89" t="inlineStr">
        <is>
          <t>Global TAM</t>
        </is>
      </c>
      <c r="C8" s="89" t="inlineStr">
        <is>
          <t>$4.0B (2024) → $11.9B (2029), 24% CAGR</t>
        </is>
      </c>
      <c r="D8" s="89" t="inlineStr">
        <is>
          <t>Markets &amp; Markets data</t>
        </is>
      </c>
    </row>
    <row r="9" ht="23.25" customHeight="1" s="70">
      <c r="A9" s="86" t="inlineStr">
        <is>
          <t>Research output growth</t>
        </is>
      </c>
      <c r="B9" s="87" t="inlineStr">
        <is>
          <t>Academic papers/yr</t>
        </is>
      </c>
      <c r="C9" s="87" t="inlineStr">
        <is>
          <t>14 (2018) → 328 (2024), 23x</t>
        </is>
      </c>
      <c r="D9" s="87" t="inlineStr">
        <is>
          <t>Field maturity proxy</t>
        </is>
      </c>
    </row>
    <row r="11" ht="15" customHeight="1" s="70">
      <c r="A11" s="85" t="inlineStr">
        <is>
          <t>Chart data — AEC/Construction AI headline</t>
        </is>
      </c>
    </row>
    <row r="12" ht="15" customHeight="1" s="70">
      <c r="A12" s="79" t="inlineStr">
        <is>
          <t>Metric</t>
        </is>
      </c>
      <c r="B12" s="79" t="inlineStr">
        <is>
          <t>% change</t>
        </is>
      </c>
    </row>
    <row r="13" ht="15" customHeight="1" s="70">
      <c r="A13" s="86" t="inlineStr">
        <is>
          <t>Productivity uplift (max)</t>
        </is>
      </c>
      <c r="B13" s="87" t="n">
        <v>30</v>
      </c>
    </row>
    <row r="14" ht="15" customHeight="1" s="70">
      <c r="A14" s="88" t="inlineStr">
        <is>
          <t>Cost reduction (max)</t>
        </is>
      </c>
      <c r="B14" s="89" t="n">
        <v>20</v>
      </c>
    </row>
    <row r="15" ht="15" customHeight="1" s="70">
      <c r="A15" s="86" t="inlineStr">
        <is>
          <t>Material waste reduction</t>
        </is>
      </c>
      <c r="B15" s="87" t="n">
        <v>50</v>
      </c>
    </row>
    <row r="16" ht="54.75" customHeight="1" s="70">
      <c r="A16" s="90" t="inlineStr">
        <is>
          <t>Insight  |  AEC has the weakest evidentiary base of the sectors examined — most numbers come from modelling/literature reviews, not RCTs. The 20–30% range is defensible directionally; specific project case studies are needed. Strong signal: 23x growth in academic output since 2018 = field maturing but commercial RCTs lag.</t>
        </is>
      </c>
    </row>
    <row r="17" ht="30" customHeight="1" s="70">
      <c r="A17" s="77" t="inlineStr">
        <is>
          <t>Source  |  Springer — AI + BIM construction methodologies  —  https://link.springer.com/article/10.1007/s43995-025-00193-2</t>
        </is>
      </c>
    </row>
    <row r="18" ht="30" customHeight="1" s="70">
      <c r="A18" s="77" t="inlineStr">
        <is>
          <t>Source  |  MDPI — AI + BIM systematic review  —  https://www.mdpi.com/2076-3417/15/23/12470</t>
        </is>
      </c>
    </row>
    <row r="19" ht="30" customHeight="1" s="70">
      <c r="A19" s="77" t="inlineStr">
        <is>
          <t>Source  |  Autodesk — Top 2025 AI construction trends  —  https://www.autodesk.com/blogs/construction/top-2025-ai-construction-trends-according-to-the-experts/</t>
        </is>
      </c>
    </row>
  </sheetData>
  <mergeCells count="6">
    <mergeCell ref="A18:H18"/>
    <mergeCell ref="A2:H2"/>
    <mergeCell ref="A16:H16"/>
    <mergeCell ref="A19:H19"/>
    <mergeCell ref="A1:H1"/>
    <mergeCell ref="A17:H17"/>
  </mergeCells>
  <hyperlinks>
    <hyperlink xmlns:r="http://schemas.openxmlformats.org/officeDocument/2006/relationships" ref="A17" display="Source  |  Springer — AI + BIM construction methodologies  —  https://link.springer.com/article/10.1007/s43995-025-00193-2" r:id="rId1"/>
    <hyperlink xmlns:r="http://schemas.openxmlformats.org/officeDocument/2006/relationships" ref="A18" display="Source  |  MDPI — AI + BIM systematic review  —  https://www.mdpi.com/2076-3417/15/23/12470" r:id="rId2"/>
    <hyperlink xmlns:r="http://schemas.openxmlformats.org/officeDocument/2006/relationships" ref="A19" display="Source  |  Autodesk — Top 2025 AI construction trends  —  https://www.autodesk.com/blogs/construction/top-2025-ai-construction-trends-according-to-the-experts/"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4"/>
</worksheet>
</file>

<file path=xl/worksheets/sheet43.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S11  |  Khanmigo improves next-item correctness by 2.7–3.4% — modest, not transformative</t>
        </is>
      </c>
    </row>
    <row r="2" ht="21.75" customHeight="1" s="70">
      <c r="A2" s="84" t="inlineStr">
        <is>
          <t>What is the measured learning gain from AI tutors in K-12?</t>
        </is>
      </c>
    </row>
    <row r="4" ht="15" customHeight="1" s="70">
      <c r="A4" s="79" t="inlineStr">
        <is>
          <t>Source</t>
        </is>
      </c>
      <c r="B4" s="79" t="inlineStr">
        <is>
          <t>Scope</t>
        </is>
      </c>
      <c r="C4" s="79" t="inlineStr">
        <is>
          <t>Result</t>
        </is>
      </c>
      <c r="D4" s="79" t="inlineStr">
        <is>
          <t>Quality</t>
        </is>
      </c>
    </row>
    <row r="5" ht="23.25" customHeight="1" s="70">
      <c r="A5" s="86" t="inlineStr">
        <is>
          <t>Khanmigo — recent problem history feature</t>
        </is>
      </c>
      <c r="B5" s="87" t="inlineStr">
        <is>
          <t>608,000 tutoring threads</t>
        </is>
      </c>
      <c r="C5" s="87" t="inlineStr">
        <is>
          <t>+3.4% next-item correctness</t>
        </is>
      </c>
      <c r="D5" s="87" t="inlineStr">
        <is>
          <t>Production telemetry</t>
        </is>
      </c>
    </row>
    <row r="6" ht="23.25" customHeight="1" s="70">
      <c r="A6" s="88" t="inlineStr">
        <is>
          <t>Khanmigo — prerequisite review feature</t>
        </is>
      </c>
      <c r="B6" s="89" t="inlineStr">
        <is>
          <t>1.36M tutoring threads</t>
        </is>
      </c>
      <c r="C6" s="89" t="inlineStr">
        <is>
          <t>+2.7% next-item correctness</t>
        </is>
      </c>
      <c r="D6" s="89" t="inlineStr">
        <is>
          <t>Production telemetry</t>
        </is>
      </c>
    </row>
    <row r="7" ht="45.75" customHeight="1" s="70">
      <c r="A7" s="86" t="inlineStr">
        <is>
          <t>Khan Academy 30-min/week practice</t>
        </is>
      </c>
      <c r="B7" s="87" t="inlineStr">
        <is>
          <t>Annual usage</t>
        </is>
      </c>
      <c r="C7" s="87" t="inlineStr">
        <is>
          <t>Greater-than-expected standardised gain</t>
        </is>
      </c>
      <c r="D7" s="87" t="inlineStr">
        <is>
          <t>Self-reported study</t>
        </is>
      </c>
    </row>
    <row r="8" ht="23.25" customHeight="1" s="70">
      <c r="A8" s="88" t="inlineStr">
        <is>
          <t>Stanford — AI cheating rate (high schools)</t>
        </is>
      </c>
      <c r="B8" s="89" t="inlineStr">
        <is>
          <t>US schools</t>
        </is>
      </c>
      <c r="C8" s="89" t="inlineStr">
        <is>
          <t>No increase in cheating</t>
        </is>
      </c>
      <c r="D8" s="89" t="inlineStr">
        <is>
          <t>Reassuring negative finding</t>
        </is>
      </c>
    </row>
    <row r="10" ht="15" customHeight="1" s="70">
      <c r="A10" s="85" t="inlineStr">
        <is>
          <t>Chart data — Khanmigo measured uplift per feature</t>
        </is>
      </c>
    </row>
    <row r="11" ht="23.25" customHeight="1" s="70">
      <c r="A11" s="79" t="inlineStr">
        <is>
          <t>Feature</t>
        </is>
      </c>
      <c r="B11" s="79" t="inlineStr">
        <is>
          <t>% next-item correctness</t>
        </is>
      </c>
    </row>
    <row r="12" ht="15" customHeight="1" s="70">
      <c r="A12" s="86" t="inlineStr">
        <is>
          <t>Recent history feature</t>
        </is>
      </c>
      <c r="B12" s="87" t="n">
        <v>3.4</v>
      </c>
    </row>
    <row r="13" ht="15" customHeight="1" s="70">
      <c r="A13" s="88" t="inlineStr">
        <is>
          <t>Prerequisite review feature</t>
        </is>
      </c>
      <c r="B13" s="89" t="n">
        <v>2.7</v>
      </c>
    </row>
    <row r="14" ht="54.75" customHeight="1" s="70">
      <c r="A14" s="90" t="inlineStr">
        <is>
          <t>Insight  |  Education AI evidence is the most under-claimed: Khan Academy publishes raw single-digit percent gains, which is honest but un-marketable. The lesson: real learning gains are slow (single digits per feature); 'AI tutor' value-pricing should compete with paid tutoring rates ($30–50/hr), not with promises of transformation.</t>
        </is>
      </c>
    </row>
    <row r="15" ht="30" customHeight="1" s="70">
      <c r="A15" s="77" t="inlineStr">
        <is>
          <t>Source  |  Khan Academy — building a better AI tutor  —  https://blog.khanacademy.org/how-khan-academy-is-building-a-better-ai-tutor-our-most-recent-learnings/</t>
        </is>
      </c>
    </row>
    <row r="16" ht="30" customHeight="1" s="70">
      <c r="A16" s="77" t="inlineStr">
        <is>
          <t>Source  |  J-PAL — Khanmigo evaluation project  —  https://www.povertyactionlab.org/initiative-project/ai-powered-tutoring-unleashing-full-potential-personalized-learning-khanmigo</t>
        </is>
      </c>
    </row>
  </sheetData>
  <mergeCells count="5">
    <mergeCell ref="A15:H15"/>
    <mergeCell ref="A2:H2"/>
    <mergeCell ref="A16:H16"/>
    <mergeCell ref="A14:H14"/>
    <mergeCell ref="A1:H1"/>
  </mergeCells>
  <hyperlinks>
    <hyperlink xmlns:r="http://schemas.openxmlformats.org/officeDocument/2006/relationships" ref="A15" display="Source  |  Khan Academy — building a better AI tutor  —  https://blog.khanacademy.org/how-khan-academy-is-building-a-better-ai-tutor-our-most-recent-learnings/" r:id="rId1"/>
    <hyperlink xmlns:r="http://schemas.openxmlformats.org/officeDocument/2006/relationships" ref="A16" display="Source  |  J-PAL — Khanmigo evaluation project  —  https://www.povertyactionlab.org/initiative-project/ai-powered-tutoring-unleashing-full-potential-personalized-learning-khanmigo"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xl/worksheets/sheet44.xml><?xml version="1.0" encoding="utf-8"?>
<worksheet xmlns="http://schemas.openxmlformats.org/spreadsheetml/2006/main">
  <sheetPr filterMode="0">
    <outlinePr summaryBelow="1" summaryRight="1"/>
    <pageSetUpPr fitToPage="0"/>
  </sheetPr>
  <dimension ref="A1:H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S12  |  AI in government saves 1 hour/day on admin (Australia DTA) — federal automation TAM of 96M–1.2B hours/year</t>
        </is>
      </c>
    </row>
    <row r="2" ht="21.75" customHeight="1" s="70">
      <c r="A2" s="84" t="inlineStr">
        <is>
          <t>What is the realised vs theoretical productivity prize in public sector?</t>
        </is>
      </c>
    </row>
    <row r="4" ht="15" customHeight="1" s="70">
      <c r="A4" s="79" t="inlineStr">
        <is>
          <t>Source</t>
        </is>
      </c>
      <c r="B4" s="79" t="inlineStr">
        <is>
          <t>Scope</t>
        </is>
      </c>
      <c r="C4" s="79" t="inlineStr">
        <is>
          <t>Result</t>
        </is>
      </c>
      <c r="D4" s="79" t="inlineStr">
        <is>
          <t>Stage</t>
        </is>
      </c>
    </row>
    <row r="5" ht="45.75" customHeight="1" s="70">
      <c r="A5" s="86" t="inlineStr">
        <is>
          <t>Australia DTA pilot (Microsoft Copilot)</t>
        </is>
      </c>
      <c r="B5" s="87" t="inlineStr">
        <is>
          <t>7,600 employees, 60 agencies, 6 months</t>
        </is>
      </c>
      <c r="C5" s="87" t="inlineStr">
        <is>
          <t>1 hour/day saved on admin</t>
        </is>
      </c>
      <c r="D5" s="87" t="inlineStr">
        <is>
          <t>Pilot, not steady-state</t>
        </is>
      </c>
    </row>
    <row r="6" ht="23.25" customHeight="1" s="70">
      <c r="A6" s="88" t="inlineStr">
        <is>
          <t>Deloitte — federal automation low end</t>
        </is>
      </c>
      <c r="B6" s="89" t="inlineStr">
        <is>
          <t>US federal estimate</t>
        </is>
      </c>
      <c r="C6" s="89" t="inlineStr">
        <is>
          <t>96.7M hours/yr, $3.3B savings</t>
        </is>
      </c>
      <c r="D6" s="89" t="inlineStr">
        <is>
          <t>Theoretical TAM</t>
        </is>
      </c>
    </row>
    <row r="7" ht="23.25" customHeight="1" s="70">
      <c r="A7" s="86" t="inlineStr">
        <is>
          <t>Deloitte — federal automation high end</t>
        </is>
      </c>
      <c r="B7" s="87" t="inlineStr">
        <is>
          <t>Same</t>
        </is>
      </c>
      <c r="C7" s="87" t="inlineStr">
        <is>
          <t>1.2B hours/yr, $41.1B savings</t>
        </is>
      </c>
      <c r="D7" s="87" t="inlineStr">
        <is>
          <t>Theoretical TAM</t>
        </is>
      </c>
    </row>
    <row r="8" ht="34.5" customHeight="1" s="70">
      <c r="A8" s="88" t="inlineStr">
        <is>
          <t>US Department of State</t>
        </is>
      </c>
      <c r="B8" s="89" t="inlineStr">
        <is>
          <t>Internal GenAI tools</t>
        </is>
      </c>
      <c r="C8" s="89" t="inlineStr">
        <is>
          <t>Drafting, translation, brainstorming</t>
        </is>
      </c>
      <c r="D8" s="89" t="inlineStr">
        <is>
          <t>Self-report</t>
        </is>
      </c>
    </row>
    <row r="9" ht="23.25" customHeight="1" s="70">
      <c r="A9" s="86" t="inlineStr">
        <is>
          <t>Deloitte — pilot-to-production</t>
        </is>
      </c>
      <c r="B9" s="87" t="inlineStr">
        <is>
          <t>Public &amp; private sector</t>
        </is>
      </c>
      <c r="C9" s="87" t="inlineStr">
        <is>
          <t>&lt;1/3 of pilots reach production</t>
        </is>
      </c>
      <c r="D9" s="87" t="inlineStr">
        <is>
          <t>Scaling bottleneck</t>
        </is>
      </c>
    </row>
    <row r="11" ht="15" customHeight="1" s="70">
      <c r="A11" s="85" t="inlineStr">
        <is>
          <t>Chart data — US federal automation TAM (Deloitte)</t>
        </is>
      </c>
    </row>
    <row r="12" ht="15" customHeight="1" s="70">
      <c r="A12" s="79" t="inlineStr">
        <is>
          <t>Metric</t>
        </is>
      </c>
      <c r="B12" s="79" t="inlineStr">
        <is>
          <t>Value</t>
        </is>
      </c>
    </row>
    <row r="13" ht="15" customHeight="1" s="70">
      <c r="A13" s="86" t="inlineStr">
        <is>
          <t>Low-end annual hours (M)</t>
        </is>
      </c>
      <c r="B13" s="87" t="n">
        <v>97</v>
      </c>
    </row>
    <row r="14" ht="15" customHeight="1" s="70">
      <c r="A14" s="88" t="inlineStr">
        <is>
          <t>High-end annual hours (M)</t>
        </is>
      </c>
      <c r="B14" s="89" t="n">
        <v>1200</v>
      </c>
    </row>
    <row r="15" ht="15" customHeight="1" s="70">
      <c r="A15" s="86" t="inlineStr">
        <is>
          <t>Low-end savings ($B)</t>
        </is>
      </c>
      <c r="B15" s="87" t="n">
        <v>3.3</v>
      </c>
    </row>
    <row r="16" ht="15" customHeight="1" s="70">
      <c r="A16" s="88" t="inlineStr">
        <is>
          <t>High-end savings ($B)</t>
        </is>
      </c>
      <c r="B16" s="89" t="n">
        <v>41.1</v>
      </c>
    </row>
    <row r="17" ht="54.75" customHeight="1" s="70">
      <c r="A17" s="90" t="inlineStr">
        <is>
          <t>Insight  |  Government numbers are the widest range in the dossier (12x between low and high). One hour/day saved is real but doesn't translate to procurement savings until staffing models change. Deloitte's own data: &lt;1/3 of pilots reach production. This is a slow-burn TAM, not a near-term realisation.</t>
        </is>
      </c>
    </row>
    <row r="18" ht="30" customHeight="1" s="70">
      <c r="A18" s="77" t="inlineStr">
        <is>
          <t>Source  |  Deloitte — AI public services enhancement 2025  —  https://www.deloitte.com/us/en/insights/industry/government-public-sector-services/government-trends/2025/ai-public-services-enhancement.html</t>
        </is>
      </c>
    </row>
    <row r="19" ht="30" customHeight="1" s="70">
      <c r="A19" s="77" t="inlineStr">
        <is>
          <t>Source  |  Deloitte — Scaling AI for government  —  https://www.deloitte.com/us/en/insights/industry/government-public-sector-services/government-trends/2025/scaling-ai-in-government.html</t>
        </is>
      </c>
    </row>
    <row r="20" ht="30" customHeight="1" s="70">
      <c r="A20" s="77" t="inlineStr">
        <is>
          <t>Source  |  Deloitte — AI in federal government  —  https://www.deloitte.com/us/en/Industries/government-public/articles/ai-in-federal-government.html</t>
        </is>
      </c>
    </row>
  </sheetData>
  <mergeCells count="6">
    <mergeCell ref="A18:H18"/>
    <mergeCell ref="A20:H20"/>
    <mergeCell ref="A2:H2"/>
    <mergeCell ref="A19:H19"/>
    <mergeCell ref="A1:H1"/>
    <mergeCell ref="A17:H17"/>
  </mergeCells>
  <hyperlinks>
    <hyperlink xmlns:r="http://schemas.openxmlformats.org/officeDocument/2006/relationships" ref="A18" display="Source  |  Deloitte — AI public services enhancement 2025  —  https://www.deloitte.com/us/en/insights/industry/government-public-sector-services/government-trends/2025/ai-public-services-enhancement.html" r:id="rId1"/>
    <hyperlink xmlns:r="http://schemas.openxmlformats.org/officeDocument/2006/relationships" ref="A19" display="Source  |  Deloitte — Scaling AI for government  —  https://www.deloitte.com/us/en/insights/industry/government-public-sector-services/government-trends/2025/scaling-ai-in-government.html" r:id="rId2"/>
    <hyperlink xmlns:r="http://schemas.openxmlformats.org/officeDocument/2006/relationships" ref="A20" display="Source  |  Deloitte — AI in federal government  —  https://www.deloitte.com/us/en/Industries/government-public/articles/ai-in-federal-government.html"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4"/>
</worksheet>
</file>

<file path=xl/worksheets/sheet45.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C01  |  Salesforce — cut support from 9,000 to 5,000 staff in 2025 ('I need less heads'), now publicly walking back AI agent claims</t>
        </is>
      </c>
    </row>
    <row r="2" ht="21.75" customHeight="1" s="70">
      <c r="A2" s="84" t="inlineStr">
        <is>
          <t>What is the anchor case for 'AI replacement gone wrong' — and what does the trajectory tell us?</t>
        </is>
      </c>
    </row>
    <row r="4" ht="23.25" customHeight="1" s="70">
      <c r="A4" s="79" t="inlineStr">
        <is>
          <t>Date</t>
        </is>
      </c>
      <c r="B4" s="79" t="inlineStr">
        <is>
          <t>Metric</t>
        </is>
      </c>
      <c r="C4" s="79" t="inlineStr">
        <is>
          <t>Value</t>
        </is>
      </c>
      <c r="D4" s="79" t="inlineStr">
        <is>
          <t>Source quote / note</t>
        </is>
      </c>
    </row>
    <row r="5" ht="23.25" customHeight="1" s="70">
      <c r="A5" s="86" t="inlineStr">
        <is>
          <t>Jan 2025</t>
        </is>
      </c>
      <c r="B5" s="87" t="inlineStr">
        <is>
          <t>Support headcount</t>
        </is>
      </c>
      <c r="C5" s="87" t="inlineStr">
        <is>
          <t>9,000</t>
        </is>
      </c>
      <c r="D5" s="87" t="inlineStr">
        <is>
          <t>Pre-AI deployment</t>
        </is>
      </c>
    </row>
    <row r="6" ht="23.25" customHeight="1" s="70">
      <c r="A6" s="88" t="inlineStr">
        <is>
          <t>Sep 2025</t>
        </is>
      </c>
      <c r="B6" s="89" t="inlineStr">
        <is>
          <t>Support headcount</t>
        </is>
      </c>
      <c r="C6" s="89" t="inlineStr">
        <is>
          <t>5,000</t>
        </is>
      </c>
      <c r="D6" s="89" t="inlineStr">
        <is>
          <t>Benioff: 'I need less heads'</t>
        </is>
      </c>
    </row>
    <row r="7" ht="15" customHeight="1" s="70">
      <c r="A7" s="86" t="inlineStr">
        <is>
          <t>Sep 2025</t>
        </is>
      </c>
      <c r="B7" s="87" t="inlineStr">
        <is>
          <t>Cost reduction</t>
        </is>
      </c>
      <c r="C7" s="87" t="inlineStr">
        <is>
          <t>−17%</t>
        </is>
      </c>
      <c r="D7" s="87" t="inlineStr">
        <is>
          <t>Support cost</t>
        </is>
      </c>
    </row>
    <row r="8" ht="23.25" customHeight="1" s="70">
      <c r="A8" s="88" t="inlineStr">
        <is>
          <t>Sep 2025</t>
        </is>
      </c>
      <c r="B8" s="89" t="inlineStr">
        <is>
          <t>AI share of conversations</t>
        </is>
      </c>
      <c r="C8" s="89" t="inlineStr">
        <is>
          <t>50%</t>
        </is>
      </c>
      <c r="D8" s="89" t="inlineStr">
        <is>
          <t>Self-report</t>
        </is>
      </c>
    </row>
    <row r="9" ht="23.25" customHeight="1" s="70">
      <c r="A9" s="86" t="inlineStr">
        <is>
          <t>Sep 2025</t>
        </is>
      </c>
      <c r="B9" s="87" t="inlineStr">
        <is>
          <t>Volume handled</t>
        </is>
      </c>
      <c r="C9" s="87" t="inlineStr">
        <is>
          <t>&gt;1M conversations</t>
        </is>
      </c>
      <c r="D9" s="87" t="inlineStr">
        <is>
          <t>Agentforce</t>
        </is>
      </c>
    </row>
    <row r="10" ht="34.5" customHeight="1" s="70">
      <c r="A10" s="88" t="inlineStr">
        <is>
          <t>Dec 2025</t>
        </is>
      </c>
      <c r="B10" s="89" t="inlineStr">
        <is>
          <t>Status</t>
        </is>
      </c>
      <c r="C10" s="89" t="inlineStr">
        <is>
          <t>Reversal</t>
        </is>
      </c>
      <c r="D10" s="89" t="inlineStr">
        <is>
          <t>Loss of institutional knowledge</t>
        </is>
      </c>
    </row>
    <row r="11" ht="34.5" customHeight="1" s="70">
      <c r="A11" s="86" t="inlineStr">
        <is>
          <t>Dec 2025</t>
        </is>
      </c>
      <c r="B11" s="87" t="inlineStr">
        <is>
          <t>Action</t>
        </is>
      </c>
      <c r="C11" s="87" t="inlineStr">
        <is>
          <t>Rehiring</t>
        </is>
      </c>
      <c r="D11" s="87" t="inlineStr">
        <is>
          <t>Up to 6,000 added in sales/services</t>
        </is>
      </c>
    </row>
    <row r="13" ht="15" customHeight="1" s="70">
      <c r="A13" s="85" t="inlineStr">
        <is>
          <t>Chart data — Salesforce support headcount trajectory</t>
        </is>
      </c>
    </row>
    <row r="14" ht="23.25" customHeight="1" s="70">
      <c r="A14" s="79" t="inlineStr">
        <is>
          <t>Period</t>
        </is>
      </c>
      <c r="B14" s="79" t="inlineStr">
        <is>
          <t>Support headcount</t>
        </is>
      </c>
    </row>
    <row r="15" ht="15" customHeight="1" s="70">
      <c r="A15" s="86" t="inlineStr">
        <is>
          <t>Jan 2025</t>
        </is>
      </c>
      <c r="B15" s="87" t="n">
        <v>9000</v>
      </c>
    </row>
    <row r="16" ht="15" customHeight="1" s="70">
      <c r="A16" s="88" t="inlineStr">
        <is>
          <t>Mid 2025</t>
        </is>
      </c>
      <c r="B16" s="89" t="n">
        <v>7000</v>
      </c>
    </row>
    <row r="17" ht="15" customHeight="1" s="70">
      <c r="A17" s="86" t="inlineStr">
        <is>
          <t>Sep 2025</t>
        </is>
      </c>
      <c r="B17" s="87" t="n">
        <v>5000</v>
      </c>
    </row>
    <row r="18" ht="15" customHeight="1" s="70">
      <c r="A18" s="88" t="inlineStr">
        <is>
          <t>Late 2025 (rehiring)</t>
        </is>
      </c>
      <c r="B18" s="89" t="n">
        <v>5500</v>
      </c>
    </row>
    <row r="19" ht="54.75" customHeight="1" s="70">
      <c r="A19" s="90" t="inlineStr">
        <is>
          <t>Insight  |  The Salesforce case is the cleanest anti-thesis to 10x. In &lt;12 months: aggressive AI replacement → cost wins → quality gaps → institutional knowledge loss → reversal. Benioff's July 2025 statement ('AI augments') vs September 2025 ('I need less heads') vs December 2025 reversal is the public-record arc your LinkedIn post identified. Use as headline narrative.</t>
        </is>
      </c>
    </row>
    <row r="20" ht="30" customHeight="1" s="70">
      <c r="A20" s="77" t="inlineStr">
        <is>
          <t>Source  |  Fortune — Benioff 'I need less heads'  —  https://fortune.com/2025/09/02/salesforce-ceo-billionaire-marc-benioff-ai-agents-jobs-layoffs-customer-service-sales/</t>
        </is>
      </c>
    </row>
    <row r="21" ht="30" customHeight="1" s="70">
      <c r="A21" s="77" t="inlineStr">
        <is>
          <t>Source  |  CNBC — Salesforce confirms 4,000 layoffs  —  https://www.cnbc.com/2025/09/02/salesforce-ceo-confirms-4000-layoffs-because-i-need-less-heads-with-ai.html</t>
        </is>
      </c>
    </row>
    <row r="22" ht="30" customHeight="1" s="70">
      <c r="A22" s="77" t="inlineStr">
        <is>
          <t>Source  |  Wipfli — Salesforce failed to replace  —  https://www.wipfli.com/insights/articles/salesforce-failed-to-replace-thousands-of-workers-with-ai-what-can-your-business-learn</t>
        </is>
      </c>
    </row>
    <row r="23" ht="30" customHeight="1" s="70">
      <c r="A23" s="77" t="inlineStr">
        <is>
          <t>Source  |  The420.in — Reduced support, was AI ready?  —  https://the420.in/salesforce-4000-layoffs-ai-overconfidence-exec-admission/</t>
        </is>
      </c>
    </row>
    <row r="24" ht="30" customHeight="1" s="70">
      <c r="A24" s="77" t="inlineStr">
        <is>
          <t>Source  |  Salesforce Ben — AI agents drive 4,000 cuts  —  https://www.salesforceben.com/ai-agents-drive-4000-job-cuts-in-salesforce-support-division/</t>
        </is>
      </c>
    </row>
  </sheetData>
  <mergeCells count="8">
    <mergeCell ref="A21:H21"/>
    <mergeCell ref="A20:H20"/>
    <mergeCell ref="A24:H24"/>
    <mergeCell ref="A2:H2"/>
    <mergeCell ref="A19:H19"/>
    <mergeCell ref="A1:H1"/>
    <mergeCell ref="A23:H23"/>
    <mergeCell ref="A22:H22"/>
  </mergeCells>
  <hyperlinks>
    <hyperlink xmlns:r="http://schemas.openxmlformats.org/officeDocument/2006/relationships" ref="A20" display="Source  |  Fortune — Benioff 'I need less heads'  —  https://fortune.com/2025/09/02/salesforce-ceo-billionaire-marc-benioff-ai-agents-jobs-layoffs-customer-service-sales/" r:id="rId1"/>
    <hyperlink xmlns:r="http://schemas.openxmlformats.org/officeDocument/2006/relationships" ref="A21" display="Source  |  CNBC — Salesforce confirms 4,000 layoffs  —  https://www.cnbc.com/2025/09/02/salesforce-ceo-confirms-4000-layoffs-because-i-need-less-heads-with-ai.html" r:id="rId2"/>
    <hyperlink xmlns:r="http://schemas.openxmlformats.org/officeDocument/2006/relationships" ref="A22" display="Source  |  Wipfli — Salesforce failed to replace  —  https://www.wipfli.com/insights/articles/salesforce-failed-to-replace-thousands-of-workers-with-ai-what-can-your-business-learn" r:id="rId3"/>
    <hyperlink xmlns:r="http://schemas.openxmlformats.org/officeDocument/2006/relationships" ref="A23" display="Source  |  The420.in — Reduced support, was AI ready?  —  https://the420.in/salesforce-4000-layoffs-ai-overconfidence-exec-admission/" r:id="rId4"/>
    <hyperlink xmlns:r="http://schemas.openxmlformats.org/officeDocument/2006/relationships" ref="A24" display="Source  |  Salesforce Ben — AI agents drive 4,000 cuts  —  https://www.salesforceben.com/ai-agents-drive-4000-job-cuts-in-salesforce-support-division/" r:id="rId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6"/>
</worksheet>
</file>

<file path=xl/worksheets/sheet46.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C02  |  Klarna — replaced 700 agents with OpenAI in 2024, walked it back in 2025 ('too focused on efficiency')</t>
        </is>
      </c>
    </row>
    <row r="2" ht="21.75" customHeight="1" s="70">
      <c r="A2" s="84" t="inlineStr">
        <is>
          <t>What does Klarna's full-cycle AI experiment tell us about replacing humans wholesale?</t>
        </is>
      </c>
    </row>
    <row r="4" ht="15" customHeight="1" s="70">
      <c r="A4" s="79" t="inlineStr">
        <is>
          <t>Period</t>
        </is>
      </c>
      <c r="B4" s="79" t="inlineStr">
        <is>
          <t>Event</t>
        </is>
      </c>
      <c r="C4" s="79" t="inlineStr">
        <is>
          <t>Detail</t>
        </is>
      </c>
      <c r="D4" s="79" t="inlineStr">
        <is>
          <t>Note</t>
        </is>
      </c>
    </row>
    <row r="5" ht="34.5" customHeight="1" s="70">
      <c r="A5" s="86" t="inlineStr">
        <is>
          <t>2022–2024</t>
        </is>
      </c>
      <c r="B5" s="87" t="inlineStr">
        <is>
          <t>Cumulative cuts</t>
        </is>
      </c>
      <c r="C5" s="87" t="inlineStr">
        <is>
          <t>~700 customer service roles</t>
        </is>
      </c>
      <c r="D5" s="87" t="inlineStr">
        <is>
          <t>Replaced by OpenAI assistant</t>
        </is>
      </c>
    </row>
    <row r="6" ht="34.5" customHeight="1" s="70">
      <c r="A6" s="88" t="inlineStr">
        <is>
          <t>Feb 2024</t>
        </is>
      </c>
      <c r="B6" s="89" t="inlineStr">
        <is>
          <t>Volume claim</t>
        </is>
      </c>
      <c r="C6" s="89" t="inlineStr">
        <is>
          <t>2.3M chats/month, 75% of total</t>
        </is>
      </c>
      <c r="D6" s="89" t="inlineStr">
        <is>
          <t>Vendor partnership launch</t>
        </is>
      </c>
    </row>
    <row r="7" ht="23.25" customHeight="1" s="70">
      <c r="A7" s="86" t="inlineStr">
        <is>
          <t>Early 2025</t>
        </is>
      </c>
      <c r="B7" s="87" t="inlineStr">
        <is>
          <t>Quality decline</t>
        </is>
      </c>
      <c r="C7" s="87" t="inlineStr">
        <is>
          <t>CSAT down, complaints up</t>
        </is>
      </c>
      <c r="D7" s="87" t="inlineStr">
        <is>
          <t>Internal reviews</t>
        </is>
      </c>
    </row>
    <row r="8" ht="23.25" customHeight="1" s="70">
      <c r="A8" s="88" t="inlineStr">
        <is>
          <t>Mid 2025</t>
        </is>
      </c>
      <c r="B8" s="89" t="inlineStr">
        <is>
          <t>Reversal start</t>
        </is>
      </c>
      <c r="C8" s="89" t="inlineStr">
        <is>
          <t>Rehiring 'Uber-style' agents</t>
        </is>
      </c>
      <c r="D8" s="89" t="inlineStr">
        <is>
          <t>Flexible / remote model</t>
        </is>
      </c>
    </row>
    <row r="9" ht="34.5" customHeight="1" s="70">
      <c r="A9" s="86" t="inlineStr">
        <is>
          <t>Late 2025</t>
        </is>
      </c>
      <c r="B9" s="87" t="inlineStr">
        <is>
          <t>CEO quote</t>
        </is>
      </c>
      <c r="C9" s="87" t="inlineStr">
        <is>
          <t>'too focused on efficiency and cost'</t>
        </is>
      </c>
      <c r="D9" s="87" t="inlineStr">
        <is>
          <t>Siemiatkowski, public statement</t>
        </is>
      </c>
    </row>
    <row r="10" ht="45.75" customHeight="1" s="70">
      <c r="A10" s="88" t="inlineStr">
        <is>
          <t>2026</t>
        </is>
      </c>
      <c r="B10" s="89" t="inlineStr">
        <is>
          <t>Steady state</t>
        </is>
      </c>
      <c r="C10" s="89" t="inlineStr">
        <is>
          <t>Hybrid AI + human escalation model</t>
        </is>
      </c>
      <c r="D10" s="89" t="inlineStr">
        <is>
          <t>AI handles routine, humans handle complex</t>
        </is>
      </c>
    </row>
    <row r="12" ht="15" customHeight="1" s="70">
      <c r="A12" s="85" t="inlineStr">
        <is>
          <t>Chart data — Klarna AI experiment outcomes</t>
        </is>
      </c>
    </row>
    <row r="13" ht="15" customHeight="1" s="70">
      <c r="A13" s="79" t="inlineStr">
        <is>
          <t>Metric</t>
        </is>
      </c>
      <c r="B13" s="79" t="inlineStr">
        <is>
          <t>Value</t>
        </is>
      </c>
    </row>
    <row r="14" ht="15" customHeight="1" s="70">
      <c r="A14" s="86" t="inlineStr">
        <is>
          <t>Roles replaced (initially)</t>
        </is>
      </c>
      <c r="B14" s="87" t="n">
        <v>700</v>
      </c>
    </row>
    <row r="15" ht="15" customHeight="1" s="70">
      <c r="A15" s="88" t="inlineStr">
        <is>
          <t>Monthly chats handled (000s)</t>
        </is>
      </c>
      <c r="B15" s="89" t="n">
        <v>2300</v>
      </c>
    </row>
    <row r="16" ht="15" customHeight="1" s="70">
      <c r="A16" s="86" t="inlineStr">
        <is>
          <t>% of customer chats automated</t>
        </is>
      </c>
      <c r="B16" s="87" t="n">
        <v>75</v>
      </c>
    </row>
    <row r="17" ht="15" customHeight="1" s="70">
      <c r="A17" s="88" t="inlineStr">
        <is>
          <t>CSAT direction (qualitative)</t>
        </is>
      </c>
      <c r="B17" s="89" t="n">
        <v>-10</v>
      </c>
    </row>
    <row r="18" ht="54.75" customHeight="1" s="70">
      <c r="A18" s="90" t="inlineStr">
        <is>
          <t>Insight  |  Klarna ran the cleanest natural experiment in B2C AI customer service — full replacement, then full reversal within 18 months. Lesson: AI can absorb 50–75% of routine volume cheaply, but quality regression on complex cases breaks brand. The defensible end-state is hybrid, not full replacement. This validates the 'AI = 2x, not 10x' thesis at the customer interface.</t>
        </is>
      </c>
    </row>
    <row r="19" ht="30" customHeight="1" s="70">
      <c r="A19" s="77" t="inlineStr">
        <is>
          <t>Source  |  Entrepreneur — Klarna rehiring humans  —  https://www.entrepreneur.com/business-news/klarna-ceo-reverses-course-by-hiring-more-humans-not-ai/491396</t>
        </is>
      </c>
    </row>
    <row r="20" ht="30" customHeight="1" s="70">
      <c r="A20" s="77" t="inlineStr">
        <is>
          <t>Source  |  Futurism — Klarna wants humans back  —  https://futurism.com/klarna-openai-humans-ai-back</t>
        </is>
      </c>
    </row>
    <row r="21" ht="30" customHeight="1" s="70">
      <c r="A21" s="77" t="inlineStr">
        <is>
          <t>Source  |  MLQ.ai — Klarna CEO admits AI cuts too far  —  https://mlq.ai/news/klarna-ceo-admits-aggressive-ai-job-cuts-went-too-far-starts-hiring-again-after-us-ipo/</t>
        </is>
      </c>
    </row>
    <row r="22" ht="30" customHeight="1" s="70">
      <c r="A22" s="77" t="inlineStr">
        <is>
          <t>Source  |  FinTech Weekly — Klarna reverses course  —  https://www.fintechweekly.com/magazine/articles/klarna-hires-customer-service-after-ai-pivot</t>
        </is>
      </c>
    </row>
  </sheetData>
  <mergeCells count="7">
    <mergeCell ref="A18:H18"/>
    <mergeCell ref="A21:H21"/>
    <mergeCell ref="A20:H20"/>
    <mergeCell ref="A2:H2"/>
    <mergeCell ref="A19:H19"/>
    <mergeCell ref="A1:H1"/>
    <mergeCell ref="A22:H22"/>
  </mergeCells>
  <hyperlinks>
    <hyperlink xmlns:r="http://schemas.openxmlformats.org/officeDocument/2006/relationships" ref="A19" display="Source  |  Entrepreneur — Klarna rehiring humans  —  https://www.entrepreneur.com/business-news/klarna-ceo-reverses-course-by-hiring-more-humans-not-ai/491396" r:id="rId1"/>
    <hyperlink xmlns:r="http://schemas.openxmlformats.org/officeDocument/2006/relationships" ref="A20" display="Source  |  Futurism — Klarna wants humans back  —  https://futurism.com/klarna-openai-humans-ai-back" r:id="rId2"/>
    <hyperlink xmlns:r="http://schemas.openxmlformats.org/officeDocument/2006/relationships" ref="A21" display="Source  |  MLQ.ai — Klarna CEO admits AI cuts too far  —  https://mlq.ai/news/klarna-ceo-admits-aggressive-ai-job-cuts-went-too-far-starts-hiring-again-after-us-ipo/" r:id="rId3"/>
    <hyperlink xmlns:r="http://schemas.openxmlformats.org/officeDocument/2006/relationships" ref="A22" display="Source  |  FinTech Weekly — Klarna reverses course  —  https://www.fintechweekly.com/magazine/articles/klarna-hires-customer-service-after-ai-pivot" r:id="rId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5"/>
</worksheet>
</file>

<file path=xl/worksheets/sheet47.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C03  |  IBM AskHR automated 94% of HR tasks, displaced ~200 roles — and total IBM headcount went UP, not down</t>
        </is>
      </c>
    </row>
    <row r="2" ht="21.75" customHeight="1" s="70">
      <c r="A2" s="84" t="inlineStr">
        <is>
          <t>What does IBM's redeployment story tell us about realistic AI workforce dynamics?</t>
        </is>
      </c>
    </row>
    <row r="4" ht="15" customHeight="1" s="70">
      <c r="A4" s="79" t="inlineStr">
        <is>
          <t>Metric / dimension</t>
        </is>
      </c>
      <c r="B4" s="79" t="inlineStr">
        <is>
          <t>Scope</t>
        </is>
      </c>
      <c r="C4" s="79" t="inlineStr">
        <is>
          <t>Value</t>
        </is>
      </c>
      <c r="D4" s="79" t="inlineStr">
        <is>
          <t>Note</t>
        </is>
      </c>
    </row>
    <row r="5" ht="23.25" customHeight="1" s="70">
      <c r="A5" s="86" t="inlineStr">
        <is>
          <t>AskHR scope</t>
        </is>
      </c>
      <c r="B5" s="87" t="inlineStr">
        <is>
          <t>Routine HR queries</t>
        </is>
      </c>
      <c r="C5" s="87" t="inlineStr">
        <is>
          <t>94% automation</t>
        </is>
      </c>
      <c r="D5" s="87" t="inlineStr">
        <is>
          <t>Pay statements, leave, FAQs</t>
        </is>
      </c>
    </row>
    <row r="6" ht="23.25" customHeight="1" s="70">
      <c r="A6" s="88" t="inlineStr">
        <is>
          <t>HR roles directly displaced</t>
        </is>
      </c>
      <c r="B6" s="89" t="inlineStr">
        <is>
          <t>Routine HR ops</t>
        </is>
      </c>
      <c r="C6" s="89" t="inlineStr">
        <is>
          <t>~200 (per Krishna)</t>
        </is>
      </c>
      <c r="D6" s="89" t="inlineStr">
        <is>
          <t>Not 8,000 (rumour, denied)</t>
        </is>
      </c>
    </row>
    <row r="7" ht="34.5" customHeight="1" s="70">
      <c r="A7" s="86" t="inlineStr">
        <is>
          <t>Reallocation target</t>
        </is>
      </c>
      <c r="B7" s="87" t="inlineStr">
        <is>
          <t>Engineering, sales, critical thinking</t>
        </is>
      </c>
      <c r="C7" s="87" t="inlineStr">
        <is>
          <t>Investment up</t>
        </is>
      </c>
      <c r="D7" s="87" t="inlineStr">
        <is>
          <t>Krishna: 'gives you more investment'</t>
        </is>
      </c>
    </row>
    <row r="8" ht="23.25" customHeight="1" s="70">
      <c r="A8" s="88" t="inlineStr">
        <is>
          <t>Total IBM employment</t>
        </is>
      </c>
      <c r="B8" s="89" t="inlineStr">
        <is>
          <t>Same period</t>
        </is>
      </c>
      <c r="C8" s="89" t="inlineStr">
        <is>
          <t>INCREASED</t>
        </is>
      </c>
      <c r="D8" s="89" t="inlineStr">
        <is>
          <t>Krishna public statement</t>
        </is>
      </c>
    </row>
    <row r="9" ht="34.5" customHeight="1" s="70">
      <c r="A9" s="86" t="inlineStr">
        <is>
          <t>CEO original prediction</t>
        </is>
      </c>
      <c r="B9" s="87" t="inlineStr">
        <is>
          <t>2023 statement</t>
        </is>
      </c>
      <c r="C9" s="87" t="inlineStr">
        <is>
          <t>30% of workforce replaceable</t>
        </is>
      </c>
      <c r="D9" s="87" t="inlineStr">
        <is>
          <t>Initial bullish framing</t>
        </is>
      </c>
    </row>
    <row r="10" ht="23.25" customHeight="1" s="70">
      <c r="A10" s="88" t="inlineStr">
        <is>
          <t>CEO 2025 framing</t>
        </is>
      </c>
      <c r="B10" s="89" t="inlineStr">
        <is>
          <t>Realised state</t>
        </is>
      </c>
      <c r="C10" s="89" t="inlineStr">
        <is>
          <t>Redeployment, not reduction</t>
        </is>
      </c>
      <c r="D10" s="89" t="inlineStr">
        <is>
          <t>Walked back from 30%</t>
        </is>
      </c>
    </row>
    <row r="12" ht="15" customHeight="1" s="70">
      <c r="A12" s="85" t="inlineStr">
        <is>
          <t>Chart data — IBM AI workforce dynamics</t>
        </is>
      </c>
    </row>
    <row r="13" ht="15" customHeight="1" s="70">
      <c r="A13" s="79" t="inlineStr">
        <is>
          <t>Metric</t>
        </is>
      </c>
      <c r="B13" s="79" t="inlineStr">
        <is>
          <t>Value</t>
        </is>
      </c>
    </row>
    <row r="14" ht="15" customHeight="1" s="70">
      <c r="A14" s="86" t="inlineStr">
        <is>
          <t>Tasks automated %</t>
        </is>
      </c>
      <c r="B14" s="87" t="n">
        <v>94</v>
      </c>
    </row>
    <row r="15" ht="15" customHeight="1" s="70">
      <c r="A15" s="88" t="inlineStr">
        <is>
          <t>Roles directly displaced (00s)</t>
        </is>
      </c>
      <c r="B15" s="89" t="n">
        <v>2</v>
      </c>
    </row>
    <row r="16" ht="15" customHeight="1" s="70">
      <c r="A16" s="86" t="inlineStr">
        <is>
          <t>Total headcount direction</t>
        </is>
      </c>
      <c r="B16" s="87" t="n">
        <v>100</v>
      </c>
    </row>
    <row r="17" ht="15" customHeight="1" s="70">
      <c r="A17" s="88" t="inlineStr">
        <is>
          <t>CEO 2023 prediction (% replaceable)</t>
        </is>
      </c>
      <c r="B17" s="89" t="n">
        <v>30</v>
      </c>
    </row>
    <row r="18" ht="54.75" customHeight="1" s="70">
      <c r="A18" s="90" t="inlineStr">
        <is>
          <t>Insight  |  IBM is the policy template Salesforce should have followed. Automate aggressively (94% of HR queries) but REDEPLOY the freed headcount into higher-value functions. Result: net employment UP. This is the credible enterprise AI playbook — and it directly refutes the 'AI = mass layoffs' narrative.</t>
        </is>
      </c>
    </row>
    <row r="19" ht="30" customHeight="1" s="70">
      <c r="A19" s="77" t="inlineStr">
        <is>
          <t>Source  |  Entrepreneur — IBM CEO AI replaced HR  —  https://www.entrepreneur.com/business-news/ibm-ceo-ai-replaced-hundreds-of-human-resources-staff/491341</t>
        </is>
      </c>
    </row>
    <row r="20" ht="30" customHeight="1" s="70">
      <c r="A20" s="77" t="inlineStr">
        <is>
          <t>Source  |  AIC — IBM total employment up  —  https://aicommission.org/2025/05/our-total-employment-has-gone-up-what-ibm-ceo-arvind-krishna-says-on-ai-replacing-several-hundred-jobs/</t>
        </is>
      </c>
    </row>
    <row r="21" ht="30" customHeight="1" s="70">
      <c r="A21" s="77" t="inlineStr">
        <is>
          <t>Source  |  PYMNTS — IBM CEO on layoffs and reinvestment  —  https://www.pymnts.com/artificial-intelligence-2/2025/ibm-ceo-hr-layoffs-due-to-ai-led-to-more-investment-in-other-roles/</t>
        </is>
      </c>
    </row>
    <row r="22" ht="30" customHeight="1" s="70">
      <c r="A22" s="77" t="inlineStr">
        <is>
          <t>Source  |  iScale — Were 8,000 HR really replaced  —  https://iscale-solutions.com/ibm-layoffs/</t>
        </is>
      </c>
    </row>
  </sheetData>
  <mergeCells count="7">
    <mergeCell ref="A18:H18"/>
    <mergeCell ref="A21:H21"/>
    <mergeCell ref="A20:H20"/>
    <mergeCell ref="A2:H2"/>
    <mergeCell ref="A19:H19"/>
    <mergeCell ref="A1:H1"/>
    <mergeCell ref="A22:H22"/>
  </mergeCells>
  <hyperlinks>
    <hyperlink xmlns:r="http://schemas.openxmlformats.org/officeDocument/2006/relationships" ref="A19" display="Source  |  Entrepreneur — IBM CEO AI replaced HR  —  https://www.entrepreneur.com/business-news/ibm-ceo-ai-replaced-hundreds-of-human-resources-staff/491341" r:id="rId1"/>
    <hyperlink xmlns:r="http://schemas.openxmlformats.org/officeDocument/2006/relationships" ref="A20" display="Source  |  AIC — IBM total employment up  —  https://aicommission.org/2025/05/our-total-employment-has-gone-up-what-ibm-ceo-arvind-krishna-says-on-ai-replacing-several-hundred-jobs/" r:id="rId2"/>
    <hyperlink xmlns:r="http://schemas.openxmlformats.org/officeDocument/2006/relationships" ref="A21" display="Source  |  PYMNTS — IBM CEO on layoffs and reinvestment  —  https://www.pymnts.com/artificial-intelligence-2/2025/ibm-ceo-hr-layoffs-due-to-ai-led-to-more-investment-in-other-roles/" r:id="rId3"/>
    <hyperlink xmlns:r="http://schemas.openxmlformats.org/officeDocument/2006/relationships" ref="A22" display="Source  |  iScale — Were 8,000 HR really replaced  —  https://iscale-solutions.com/ibm-layoffs/" r:id="rId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5"/>
</worksheet>
</file>

<file path=xl/worksheets/sheet48.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C04  |  Duolingo — 'AI-first' memo triggered backlash; no full-time layoffs, but contractor base being phased out</t>
        </is>
      </c>
    </row>
    <row r="2" ht="21.75" customHeight="1" s="70">
      <c r="A2" s="84" t="inlineStr">
        <is>
          <t>What does the Duolingo case show about communication risk in AI strategy?</t>
        </is>
      </c>
    </row>
    <row r="4" ht="15" customHeight="1" s="70">
      <c r="A4" s="79" t="inlineStr">
        <is>
          <t>Date</t>
        </is>
      </c>
      <c r="B4" s="79" t="inlineStr">
        <is>
          <t>Event</t>
        </is>
      </c>
      <c r="C4" s="79" t="inlineStr">
        <is>
          <t>Detail</t>
        </is>
      </c>
      <c r="D4" s="79" t="inlineStr">
        <is>
          <t>Note</t>
        </is>
      </c>
    </row>
    <row r="5" ht="23.25" customHeight="1" s="70">
      <c r="A5" s="86" t="inlineStr">
        <is>
          <t>Apr 2025</t>
        </is>
      </c>
      <c r="B5" s="87" t="inlineStr">
        <is>
          <t>Original memo</t>
        </is>
      </c>
      <c r="C5" s="87" t="inlineStr">
        <is>
          <t>'AI-first' policy</t>
        </is>
      </c>
      <c r="D5" s="87" t="inlineStr">
        <is>
          <t>von Ahn, LinkedIn</t>
        </is>
      </c>
    </row>
    <row r="6" ht="34.5" customHeight="1" s="70">
      <c r="A6" s="88" t="inlineStr">
        <is>
          <t>Apr 2025</t>
        </is>
      </c>
      <c r="B6" s="89" t="inlineStr">
        <is>
          <t>Backlash volume</t>
        </is>
      </c>
      <c r="C6" s="89" t="inlineStr">
        <is>
          <t>1,000+ comments, 600 reposts</t>
        </is>
      </c>
      <c r="D6" s="89" t="inlineStr">
        <is>
          <t>Users threatened to delete app</t>
        </is>
      </c>
    </row>
    <row r="7" ht="34.5" customHeight="1" s="70">
      <c r="A7" s="86" t="inlineStr">
        <is>
          <t>Apr 2025</t>
        </is>
      </c>
      <c r="B7" s="87" t="inlineStr">
        <is>
          <t>Contractor phase-out</t>
        </is>
      </c>
      <c r="C7" s="87" t="inlineStr">
        <is>
          <t>'gradually stop using contractors'</t>
        </is>
      </c>
      <c r="D7" s="87" t="inlineStr">
        <is>
          <t>Stated policy</t>
        </is>
      </c>
    </row>
    <row r="8" ht="34.5" customHeight="1" s="70">
      <c r="A8" s="88" t="inlineStr">
        <is>
          <t>Aug 2025</t>
        </is>
      </c>
      <c r="B8" s="89" t="inlineStr">
        <is>
          <t>Reversal / clarification</t>
        </is>
      </c>
      <c r="C8" s="89" t="inlineStr">
        <is>
          <t>No FT layoffs</t>
        </is>
      </c>
      <c r="D8" s="89" t="inlineStr">
        <is>
          <t>von Ahn: 'didn't give enough context'</t>
        </is>
      </c>
    </row>
    <row r="9" ht="23.25" customHeight="1" s="70">
      <c r="A9" s="86" t="inlineStr">
        <is>
          <t>Sep 2025</t>
        </is>
      </c>
      <c r="B9" s="87" t="inlineStr">
        <is>
          <t>Status</t>
        </is>
      </c>
      <c r="C9" s="87" t="inlineStr">
        <is>
          <t>No FT employee laid off</t>
        </is>
      </c>
      <c r="D9" s="87" t="inlineStr">
        <is>
          <t>5 months post-memo</t>
        </is>
      </c>
    </row>
    <row r="10" ht="45.75" customHeight="1" s="70">
      <c r="A10" s="88" t="inlineStr">
        <is>
          <t>Sep 2025</t>
        </is>
      </c>
      <c r="B10" s="89" t="inlineStr">
        <is>
          <t>Strategy</t>
        </is>
      </c>
      <c r="C10" s="89" t="inlineStr">
        <is>
          <t>AI augments FT staff</t>
        </is>
      </c>
      <c r="D10" s="89" t="inlineStr">
        <is>
          <t>Stable headcount + contractor reduction</t>
        </is>
      </c>
    </row>
    <row r="12" ht="54.75" customHeight="1" s="70">
      <c r="A12" s="90" t="inlineStr">
        <is>
          <t>Insight  |  Duolingo is the soft-version Salesforce: communication-driven, not deployment-driven, reversal. Lesson for B2B vendors and pricing: never lead with 'replacement' narrative. The Duolingo backlash hit faster (days) than the operational backlash at Salesforce (months) — public brand value at risk independent of the AI's actual capability.</t>
        </is>
      </c>
    </row>
    <row r="13" ht="30" customHeight="1" s="70">
      <c r="A13" s="77" t="inlineStr">
        <is>
          <t>Source  |  Fortune — Duolingo CEO admits memo  —  https://fortune.com/2025/08/18/duolingo-ceo-admits-controversial-ai-memo-did-not-give-enough-context-insists-company-never-laid-off-full-time-employees/</t>
        </is>
      </c>
    </row>
    <row r="14" ht="30" customHeight="1" s="70">
      <c r="A14" s="77" t="inlineStr">
        <is>
          <t>Source  |  CNBC — Duolingo no layoffs  —  https://www.cnbc.com/2025/09/17/duolingo-ceo-how-ai-makes-my-employees-more-productive-without-layoffs.html</t>
        </is>
      </c>
    </row>
    <row r="15" ht="30" customHeight="1" s="70">
      <c r="A15" s="77" t="inlineStr">
        <is>
          <t>Source  |  TechCrunch — Face of AI jobs crisis  —  https://techcrunch.com/2025/05/04/is-duolingo-the-face-of-an-ai-jobs-crisis/</t>
        </is>
      </c>
    </row>
  </sheetData>
  <mergeCells count="6">
    <mergeCell ref="A12:H12"/>
    <mergeCell ref="A15:H15"/>
    <mergeCell ref="A2:H2"/>
    <mergeCell ref="A13:H13"/>
    <mergeCell ref="A14:H14"/>
    <mergeCell ref="A1:H1"/>
  </mergeCells>
  <hyperlinks>
    <hyperlink xmlns:r="http://schemas.openxmlformats.org/officeDocument/2006/relationships" ref="A13" display="Source  |  Fortune — Duolingo CEO admits memo  —  https://fortune.com/2025/08/18/duolingo-ceo-admits-controversial-ai-memo-did-not-give-enough-context-insists-company-never-laid-off-full-time-employees/" r:id="rId1"/>
    <hyperlink xmlns:r="http://schemas.openxmlformats.org/officeDocument/2006/relationships" ref="A14" display="Source  |  CNBC — Duolingo no layoffs  —  https://www.cnbc.com/2025/09/17/duolingo-ceo-how-ai-makes-my-employees-more-productive-without-layoffs.html" r:id="rId2"/>
    <hyperlink xmlns:r="http://schemas.openxmlformats.org/officeDocument/2006/relationships" ref="A15" display="Source  |  TechCrunch — Face of AI jobs crisis  —  https://techcrunch.com/2025/05/04/is-duolingo-the-face-of-an-ai-jobs-crisis/"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C05  |  AI reliability is task-dependent — hallucination rates run from &lt;1% (summarisation) to 33–51% (reasoning)</t>
        </is>
      </c>
    </row>
    <row r="2" ht="21.75" customHeight="1" s="70">
      <c r="A2" s="84" t="inlineStr">
        <is>
          <t>Why does AI break in production, and where are the empirical failure rates?</t>
        </is>
      </c>
    </row>
    <row r="4" ht="15" customHeight="1" s="70">
      <c r="A4" s="79" t="inlineStr">
        <is>
          <t>Source / benchmark</t>
        </is>
      </c>
      <c r="B4" s="79" t="inlineStr">
        <is>
          <t>Scope</t>
        </is>
      </c>
      <c r="C4" s="79" t="inlineStr">
        <is>
          <t>Rate / metric</t>
        </is>
      </c>
      <c r="D4" s="79" t="inlineStr">
        <is>
          <t>Note</t>
        </is>
      </c>
    </row>
    <row r="5" ht="23.25" customHeight="1" s="70">
      <c r="A5" s="86" t="inlineStr">
        <is>
          <t>Vectara summarisation leaderboard</t>
        </is>
      </c>
      <c r="B5" s="87" t="inlineStr">
        <is>
          <t>Standardised benchmark</t>
        </is>
      </c>
      <c r="C5" s="87" t="inlineStr">
        <is>
          <t>&lt;1% (top models)</t>
        </is>
      </c>
      <c r="D5" s="87" t="inlineStr">
        <is>
          <t>Grounded, narrow</t>
        </is>
      </c>
    </row>
    <row r="6" ht="23.25" customHeight="1" s="70">
      <c r="A6" s="88" t="inlineStr">
        <is>
          <t>Gemini 2.0 Flash — summarisation</t>
        </is>
      </c>
      <c r="B6" s="89" t="inlineStr">
        <is>
          <t>Vectara benchmark</t>
        </is>
      </c>
      <c r="C6" s="89" t="inlineStr">
        <is>
          <t>~0.7%</t>
        </is>
      </c>
      <c r="D6" s="89" t="inlineStr">
        <is>
          <t>Best-in-class</t>
        </is>
      </c>
    </row>
    <row r="7" ht="23.25" customHeight="1" s="70">
      <c r="A7" s="86" t="inlineStr">
        <is>
          <t>OpenAI o3 series — reasoning</t>
        </is>
      </c>
      <c r="B7" s="87" t="inlineStr">
        <is>
          <t>Open-ended benchmarks</t>
        </is>
      </c>
      <c r="C7" s="87" t="inlineStr">
        <is>
          <t>33–51% hallucination</t>
        </is>
      </c>
      <c r="D7" s="87" t="inlineStr">
        <is>
          <t>Reasoning trade-off</t>
        </is>
      </c>
    </row>
    <row r="8" ht="23.25" customHeight="1" s="70">
      <c r="A8" s="88" t="inlineStr">
        <is>
          <t>DeepSeek-V3.1 — long-form (SeSE)</t>
        </is>
      </c>
      <c r="B8" s="89" t="inlineStr">
        <is>
          <t>Long-form generation</t>
        </is>
      </c>
      <c r="C8" s="89" t="inlineStr">
        <is>
          <t>28%</t>
        </is>
      </c>
      <c r="D8" s="89" t="inlineStr">
        <is>
          <t>Long-form weakness</t>
        </is>
      </c>
    </row>
    <row r="9" ht="23.25" customHeight="1" s="70">
      <c r="A9" s="86" t="inlineStr">
        <is>
          <t>Gemini 2.5 Flash — long-form (SeSE)</t>
        </is>
      </c>
      <c r="B9" s="87" t="inlineStr">
        <is>
          <t>Long-form generation</t>
        </is>
      </c>
      <c r="C9" s="87" t="inlineStr">
        <is>
          <t>27%</t>
        </is>
      </c>
      <c r="D9" s="87" t="inlineStr">
        <is>
          <t>Long-form weakness</t>
        </is>
      </c>
    </row>
    <row r="10" ht="23.25" customHeight="1" s="70">
      <c r="A10" s="88" t="inlineStr">
        <is>
          <t>Enterprises with HITL</t>
        </is>
      </c>
      <c r="B10" s="89" t="inlineStr">
        <is>
          <t>Deloitte / industry data</t>
        </is>
      </c>
      <c r="C10" s="89" t="inlineStr">
        <is>
          <t>76%</t>
        </is>
      </c>
      <c r="D10" s="89" t="inlineStr">
        <is>
          <t>Human review in the loop</t>
        </is>
      </c>
    </row>
    <row r="11" ht="45.75" customHeight="1" s="70">
      <c r="A11" s="86" t="inlineStr">
        <is>
          <t>Enterprises with bad AI decisions</t>
        </is>
      </c>
      <c r="B11" s="87" t="inlineStr">
        <is>
          <t>Deloitte 2024 exec survey</t>
        </is>
      </c>
      <c r="C11" s="87" t="inlineStr">
        <is>
          <t>38% report wrong decision from hallucination</t>
        </is>
      </c>
      <c r="D11" s="87" t="inlineStr">
        <is>
          <t>Tangible impact</t>
        </is>
      </c>
    </row>
    <row r="12" ht="34.5" customHeight="1" s="70">
      <c r="A12" s="88" t="inlineStr">
        <is>
          <t>AI agents in production</t>
        </is>
      </c>
      <c r="B12" s="89" t="inlineStr">
        <is>
          <t>Industry survey 2025</t>
        </is>
      </c>
      <c r="C12" s="89" t="inlineStr">
        <is>
          <t>57% have agents in production</t>
        </is>
      </c>
      <c r="D12" s="89" t="inlineStr">
        <is>
          <t>32% cite quality as #1 barrier</t>
        </is>
      </c>
    </row>
    <row r="14" ht="15" customHeight="1" s="70">
      <c r="A14" s="85" t="inlineStr">
        <is>
          <t>Chart data — hallucination rate by task class</t>
        </is>
      </c>
    </row>
    <row r="15" ht="15" customHeight="1" s="70">
      <c r="A15" s="79" t="inlineStr">
        <is>
          <t>Task class</t>
        </is>
      </c>
      <c r="B15" s="79" t="inlineStr">
        <is>
          <t>Hallucination %</t>
        </is>
      </c>
    </row>
    <row r="16" ht="15" customHeight="1" s="70">
      <c r="A16" s="86" t="inlineStr">
        <is>
          <t>Summarisation (top models)</t>
        </is>
      </c>
      <c r="B16" s="87" t="n">
        <v>1</v>
      </c>
    </row>
    <row r="17" ht="15" customHeight="1" s="70">
      <c r="A17" s="88" t="inlineStr">
        <is>
          <t>Long-form generation</t>
        </is>
      </c>
      <c r="B17" s="89" t="n">
        <v>28</v>
      </c>
    </row>
    <row r="18" ht="15" customHeight="1" s="70">
      <c r="A18" s="86" t="inlineStr">
        <is>
          <t>Open-ended reasoning (o3)</t>
        </is>
      </c>
      <c r="B18" s="87" t="n">
        <v>42</v>
      </c>
    </row>
    <row r="19" ht="54.75" customHeight="1" s="70">
      <c r="A19" s="90" t="inlineStr">
        <is>
          <t>Insight  |  Reliability is the missing variable in productivity ROI math. A 14% productivity gain compounded with a 30% hallucination rate on complex tasks = NET zero or negative, once human review overhead is included. This is the technical explanation for why MIT NANDA finds 95% of pilots fail. Price for reliability, not capability.</t>
        </is>
      </c>
    </row>
    <row r="20" ht="30" customHeight="1" s="70">
      <c r="A20" s="77" t="inlineStr">
        <is>
          <t>Source  |  Suprmind — AI hallucination rates &amp; benchmarks 2026  —  https://suprmind.ai/hub/ai-hallucination-rates-and-benchmarks/</t>
        </is>
      </c>
    </row>
    <row r="21" ht="30" customHeight="1" s="70">
      <c r="A21" s="77" t="inlineStr">
        <is>
          <t>Source  |  Maxim AI — state of hallucinations 2025  —  https://www.getmaxim.ai/articles/the-state-of-ai-hallucinations-in-2025-challenges-solutions-and-the-maxim-ai-advantage/</t>
        </is>
      </c>
    </row>
    <row r="22" ht="30" customHeight="1" s="70">
      <c r="A22" s="77" t="inlineStr">
        <is>
          <t>Source  |  Hacker News — Salesforce regrets thread  —  https://news.ycombinator.com/item?id=46384781</t>
        </is>
      </c>
    </row>
  </sheetData>
  <mergeCells count="6">
    <mergeCell ref="A21:H21"/>
    <mergeCell ref="A20:H20"/>
    <mergeCell ref="A2:H2"/>
    <mergeCell ref="A19:H19"/>
    <mergeCell ref="A1:H1"/>
    <mergeCell ref="A22:H22"/>
  </mergeCells>
  <hyperlinks>
    <hyperlink xmlns:r="http://schemas.openxmlformats.org/officeDocument/2006/relationships" ref="A20" display="Source  |  Suprmind — AI hallucination rates &amp; benchmarks 2026  —  https://suprmind.ai/hub/ai-hallucination-rates-and-benchmarks/" r:id="rId1"/>
    <hyperlink xmlns:r="http://schemas.openxmlformats.org/officeDocument/2006/relationships" ref="A21" display="Source  |  Maxim AI — state of hallucinations 2025  —  https://www.getmaxim.ai/articles/the-state-of-ai-hallucinations-in-2025-challenges-solutions-and-the-maxim-ai-advantage/" r:id="rId2"/>
    <hyperlink xmlns:r="http://schemas.openxmlformats.org/officeDocument/2006/relationships" ref="A22" display="Source  |  Hacker News — Salesforce regrets thread  —  https://news.ycombinator.com/item?id=46384781"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4"/>
</worksheet>
</file>

<file path=xl/worksheets/sheet50.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Z01  |  Productivity uplift heatmap — AI value concentrates in (low-skill × routine) cells, collapses outside the frontier</t>
        </is>
      </c>
    </row>
    <row r="2" ht="21.75" customHeight="1" s="70">
      <c r="A2" s="84" t="inlineStr">
        <is>
          <t>Where should value-based pricing be anchored, in one matrix view?</t>
        </is>
      </c>
    </row>
    <row r="4" ht="23.25" customHeight="1" s="70">
      <c r="A4" s="79" t="inlineStr">
        <is>
          <t>Sector</t>
        </is>
      </c>
      <c r="B4" s="79" t="inlineStr">
        <is>
          <t>Routine — low skill</t>
        </is>
      </c>
      <c r="C4" s="79" t="inlineStr">
        <is>
          <t>Routine — high skill</t>
        </is>
      </c>
      <c r="D4" s="79" t="inlineStr">
        <is>
          <t>Non-routine — low skill</t>
        </is>
      </c>
      <c r="E4" s="79" t="inlineStr">
        <is>
          <t>Non-routine — high skill</t>
        </is>
      </c>
    </row>
    <row r="5" ht="15" customHeight="1" s="70">
      <c r="A5" s="86" t="inlineStr">
        <is>
          <t>Customer service</t>
        </is>
      </c>
      <c r="B5" s="146" t="inlineStr">
        <is>
          <t>+30–34%</t>
        </is>
      </c>
      <c r="C5" s="117" t="inlineStr">
        <is>
          <t>+5–10%</t>
        </is>
      </c>
      <c r="D5" s="117" t="inlineStr">
        <is>
          <t>+15%</t>
        </is>
      </c>
      <c r="E5" s="116" t="inlineStr">
        <is>
          <t>0 to −5%</t>
        </is>
      </c>
    </row>
    <row r="6" ht="15" customHeight="1" s="70">
      <c r="A6" s="88" t="inlineStr">
        <is>
          <t>Software development</t>
        </is>
      </c>
      <c r="B6" s="117" t="inlineStr">
        <is>
          <t>+50–55%</t>
        </is>
      </c>
      <c r="C6" s="146" t="inlineStr">
        <is>
          <t>+20–30%</t>
        </is>
      </c>
      <c r="D6" s="117" t="inlineStr">
        <is>
          <t>+15–25%</t>
        </is>
      </c>
      <c r="E6" s="116" t="inlineStr">
        <is>
          <t>−10 to −19%</t>
        </is>
      </c>
    </row>
    <row r="7" ht="15" customHeight="1" s="70">
      <c r="A7" s="86" t="inlineStr">
        <is>
          <t>Writing / Marketing</t>
        </is>
      </c>
      <c r="B7" s="146" t="inlineStr">
        <is>
          <t>+35–40%</t>
        </is>
      </c>
      <c r="C7" s="118" t="inlineStr">
        <is>
          <t>+15–20%</t>
        </is>
      </c>
      <c r="D7" s="118" t="inlineStr">
        <is>
          <t>+20%</t>
        </is>
      </c>
      <c r="E7" s="117" t="inlineStr">
        <is>
          <t>+5%</t>
        </is>
      </c>
    </row>
    <row r="8" ht="15" customHeight="1" s="70">
      <c r="A8" s="88" t="inlineStr">
        <is>
          <t>Consulting (BCG-HBS)</t>
        </is>
      </c>
      <c r="B8" s="146" t="inlineStr">
        <is>
          <t>+40%</t>
        </is>
      </c>
      <c r="C8" s="117" t="inlineStr">
        <is>
          <t>+25%</t>
        </is>
      </c>
      <c r="D8" s="118" t="inlineStr">
        <is>
          <t>+12%</t>
        </is>
      </c>
      <c r="E8" s="116" t="inlineStr">
        <is>
          <t>−19pp</t>
        </is>
      </c>
    </row>
    <row r="9" ht="15" customHeight="1" s="70">
      <c r="A9" s="86" t="inlineStr">
        <is>
          <t>Sales</t>
        </is>
      </c>
      <c r="B9" s="117" t="inlineStr">
        <is>
          <t>+15%</t>
        </is>
      </c>
      <c r="C9" s="117" t="inlineStr">
        <is>
          <t>+10%</t>
        </is>
      </c>
      <c r="D9" s="117" t="inlineStr">
        <is>
          <t>+10%</t>
        </is>
      </c>
      <c r="E9" s="117" t="inlineStr">
        <is>
          <t>+5%</t>
        </is>
      </c>
    </row>
    <row r="10" ht="23.25" customHeight="1" s="70">
      <c r="A10" s="88" t="inlineStr">
        <is>
          <t>Legal</t>
        </is>
      </c>
      <c r="B10" s="146" t="inlineStr">
        <is>
          <t>Major (doc extract)</t>
        </is>
      </c>
      <c r="C10" s="117" t="inlineStr">
        <is>
          <t>+15–25%</t>
        </is>
      </c>
      <c r="D10" s="117" t="inlineStr">
        <is>
          <t>+5–10%</t>
        </is>
      </c>
      <c r="E10" s="117" t="inlineStr">
        <is>
          <t>+0 to +5%</t>
        </is>
      </c>
    </row>
    <row r="11" ht="15" customHeight="1" s="70">
      <c r="A11" s="86" t="inlineStr">
        <is>
          <t>Healthcare (scribes)</t>
        </is>
      </c>
      <c r="B11" s="117" t="inlineStr">
        <is>
          <t>+25%</t>
        </is>
      </c>
      <c r="C11" s="117" t="inlineStr">
        <is>
          <t>+15%</t>
        </is>
      </c>
      <c r="D11" s="117" t="inlineStr">
        <is>
          <t>+10%</t>
        </is>
      </c>
      <c r="E11" s="117" t="inlineStr">
        <is>
          <t>+5%</t>
        </is>
      </c>
    </row>
    <row r="12" ht="15" customHeight="1" s="70">
      <c r="A12" s="88" t="inlineStr">
        <is>
          <t>Finance back-office</t>
        </is>
      </c>
      <c r="B12" s="146" t="inlineStr">
        <is>
          <t>+30–40%</t>
        </is>
      </c>
      <c r="C12" s="118" t="inlineStr">
        <is>
          <t>+10–15%</t>
        </is>
      </c>
      <c r="D12" s="117" t="inlineStr">
        <is>
          <t>+5%</t>
        </is>
      </c>
      <c r="E12" s="116" t="inlineStr">
        <is>
          <t>0%</t>
        </is>
      </c>
    </row>
    <row r="13" ht="23.25" customHeight="1" s="70">
      <c r="A13" s="86" t="inlineStr">
        <is>
          <t>Manufacturing</t>
        </is>
      </c>
      <c r="B13" s="146" t="inlineStr">
        <is>
          <t>2–3x (lighthouses)</t>
        </is>
      </c>
      <c r="C13" s="146" t="inlineStr">
        <is>
          <t>+30–50%</t>
        </is>
      </c>
      <c r="D13" s="118" t="inlineStr">
        <is>
          <t>+10–20%</t>
        </is>
      </c>
      <c r="E13" s="117" t="inlineStr">
        <is>
          <t>+5%</t>
        </is>
      </c>
    </row>
    <row r="14" ht="15" customHeight="1" s="70">
      <c r="A14" s="88" t="inlineStr">
        <is>
          <t>AEC / Construction</t>
        </is>
      </c>
      <c r="B14" s="146" t="inlineStr">
        <is>
          <t>+20–30%</t>
        </is>
      </c>
      <c r="C14" s="117" t="inlineStr">
        <is>
          <t>+15%</t>
        </is>
      </c>
      <c r="D14" s="117" t="inlineStr">
        <is>
          <t>+10%</t>
        </is>
      </c>
      <c r="E14" s="117" t="inlineStr">
        <is>
          <t>+5%</t>
        </is>
      </c>
    </row>
    <row r="15" ht="15" customHeight="1" s="70">
      <c r="A15" s="86" t="inlineStr">
        <is>
          <t>Education</t>
        </is>
      </c>
      <c r="B15" s="117" t="inlineStr">
        <is>
          <t>+3.4%</t>
        </is>
      </c>
      <c r="C15" s="117" t="inlineStr">
        <is>
          <t>+2.7%</t>
        </is>
      </c>
      <c r="D15" s="116" t="inlineStr">
        <is>
          <t>Limited</t>
        </is>
      </c>
      <c r="E15" s="116" t="inlineStr">
        <is>
          <t>Limited</t>
        </is>
      </c>
    </row>
    <row r="16" ht="23.25" customHeight="1" s="70">
      <c r="A16" s="88" t="inlineStr">
        <is>
          <t>Government</t>
        </is>
      </c>
      <c r="B16" s="118" t="inlineStr">
        <is>
          <t>+12.5% (1hr/day)</t>
        </is>
      </c>
      <c r="C16" s="117" t="inlineStr">
        <is>
          <t>+8%</t>
        </is>
      </c>
      <c r="D16" s="117" t="inlineStr">
        <is>
          <t>+5%</t>
        </is>
      </c>
      <c r="E16" s="117" t="inlineStr">
        <is>
          <t>+2%</t>
        </is>
      </c>
    </row>
    <row r="18" ht="54.75" customHeight="1" s="70">
      <c r="A18" s="90" t="inlineStr">
        <is>
          <t>Insight  |  MECE view of where AI value lives. Two patterns: (1) value concentrates in routine work AND in low-skill cohorts — the same studies. (2) Beyond the AI frontier (non-routine, high-skill), uplift collapses or turns negative. Price products at the green cells. Build guardrails for the red cells. Never sell on cross-cell averages.</t>
        </is>
      </c>
    </row>
    <row r="19" ht="30" customHeight="1" s="70">
      <c r="A19" s="77" t="inlineStr">
        <is>
          <t>Source  |  Synthesis of all M and S sheets in this dossier  —    (See individual sheets for primary sources)</t>
        </is>
      </c>
    </row>
  </sheetData>
  <mergeCells count="4">
    <mergeCell ref="A18:H18"/>
    <mergeCell ref="A19:H19"/>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1.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Z02  |  Why no 10x at scale — the human, integration, and reliability bottlenecks</t>
        </is>
      </c>
    </row>
    <row r="2" ht="21.75" customHeight="1" s="70">
      <c r="A2" s="84" t="inlineStr">
        <is>
          <t>What is the structural argument against AI-driven 80% workforce reduction?</t>
        </is>
      </c>
    </row>
    <row r="4" ht="15" customHeight="1" s="70">
      <c r="A4" s="79" t="inlineStr">
        <is>
          <t>Bottleneck</t>
        </is>
      </c>
      <c r="B4" s="79" t="inlineStr">
        <is>
          <t>Mechanism</t>
        </is>
      </c>
      <c r="C4" s="79" t="inlineStr">
        <is>
          <t>Evidence</t>
        </is>
      </c>
      <c r="D4" s="79" t="inlineStr">
        <is>
          <t>Implication</t>
        </is>
      </c>
    </row>
    <row r="5" ht="45.75" customHeight="1" s="70">
      <c r="A5" s="86" t="inlineStr">
        <is>
          <t>Human bandwidth ceiling</t>
        </is>
      </c>
      <c r="B5" s="87" t="inlineStr">
        <is>
          <t>Workers can't act on more output than time allows</t>
        </is>
      </c>
      <c r="C5" s="87" t="inlineStr">
        <is>
          <t>MS WTI: 'infinite workday' phenomenon</t>
        </is>
      </c>
      <c r="D5" s="87" t="inlineStr">
        <is>
          <t>Marginal productivity ≠ total throughput</t>
        </is>
      </c>
    </row>
    <row r="6" ht="45.75" customHeight="1" s="70">
      <c r="A6" s="88" t="inlineStr">
        <is>
          <t>Integration overhead</t>
        </is>
      </c>
      <c r="B6" s="89" t="inlineStr">
        <is>
          <t>AI requires retraining, MLOps, governance</t>
        </is>
      </c>
      <c r="C6" s="89" t="inlineStr">
        <is>
          <t>MIT NANDA: 'GenAI tax'</t>
        </is>
      </c>
      <c r="D6" s="89" t="inlineStr">
        <is>
          <t>Erodes net P&amp;L impact</t>
        </is>
      </c>
    </row>
    <row r="7" ht="34.5" customHeight="1" s="70">
      <c r="A7" s="86" t="inlineStr">
        <is>
          <t>Reliability tax</t>
        </is>
      </c>
      <c r="B7" s="87" t="inlineStr">
        <is>
          <t>Human-in-the-loop offsets speed</t>
        </is>
      </c>
      <c r="C7" s="87" t="inlineStr">
        <is>
          <t>76% of enterprises use HITL</t>
        </is>
      </c>
      <c r="D7" s="87" t="inlineStr">
        <is>
          <t>AI gain × HITL drag = small net</t>
        </is>
      </c>
    </row>
    <row r="8" ht="34.5" customHeight="1" s="70">
      <c r="A8" s="88" t="inlineStr">
        <is>
          <t>Jagged frontier</t>
        </is>
      </c>
      <c r="B8" s="89" t="inlineStr">
        <is>
          <t>Out-of-frontier tasks WORSE than no AI</t>
        </is>
      </c>
      <c r="C8" s="89" t="inlineStr">
        <is>
          <t>BCG-HBS: −19pp on misfits</t>
        </is>
      </c>
      <c r="D8" s="89" t="inlineStr">
        <is>
          <t>Net productivity capped</t>
        </is>
      </c>
    </row>
    <row r="9" ht="34.5" customHeight="1" s="70">
      <c r="A9" s="86" t="inlineStr">
        <is>
          <t>Process bottlenecks</t>
        </is>
      </c>
      <c r="B9" s="87" t="inlineStr">
        <is>
          <t>AI accelerates one step in a slow chain</t>
        </is>
      </c>
      <c r="C9" s="87" t="inlineStr">
        <is>
          <t>Gartner 2025: 'redesign workflows'</t>
        </is>
      </c>
      <c r="D9" s="87" t="inlineStr">
        <is>
          <t>Sequencing limits gain</t>
        </is>
      </c>
    </row>
    <row r="10" ht="45.75" customHeight="1" s="70">
      <c r="A10" s="88" t="inlineStr">
        <is>
          <t>Adoption lag (US firms)</t>
        </is>
      </c>
      <c r="B10" s="89" t="inlineStr">
        <is>
          <t>10% production, 17% any function, 78% intent</t>
        </is>
      </c>
      <c r="C10" s="89" t="inlineStr">
        <is>
          <t>Census BTOS vs McKinsey</t>
        </is>
      </c>
      <c r="D10" s="89" t="inlineStr">
        <is>
          <t>Diffusion takes a decade</t>
        </is>
      </c>
    </row>
    <row r="11" ht="34.5" customHeight="1" s="70">
      <c r="A11" s="86" t="inlineStr">
        <is>
          <t>Skill compression</t>
        </is>
      </c>
      <c r="B11" s="87" t="inlineStr">
        <is>
          <t>AI helps low-skilled most</t>
        </is>
      </c>
      <c r="C11" s="87" t="inlineStr">
        <is>
          <t>Brynjolfsson/Noy-Zhang/Dell'Acqua</t>
        </is>
      </c>
      <c r="D11" s="87" t="inlineStr">
        <is>
          <t>Headcount mix matters</t>
        </is>
      </c>
    </row>
    <row r="13" ht="54.75" customHeight="1" s="70">
      <c r="A13" s="90" t="inlineStr">
        <is>
          <t>Insight  |  Your LinkedIn thesis — 'the human is the bottleneck' — is supported by the data. AI is a tool that raises marginal productivity ~20–40% on AI-fit tasks. It does NOT raise the workforce throughput ceiling because (a) humans must still review/decide, (b) workflows aren't redesigned around AI, (c) reliability requires HITL, and (d) the jagged frontier reduces net gain when applied broadly. 10x is plant-level, in lighthouses, on narrow processes — not enterprise-wide.</t>
        </is>
      </c>
    </row>
    <row r="14" ht="30" customHeight="1" s="70">
      <c r="A14" s="77" t="inlineStr">
        <is>
          <t>Source  |  Microsoft — Breaking down the infinite workday  —  https://www.microsoft.com/en-us/worklab/work-trend-index/breaking-down-infinite-workday</t>
        </is>
      </c>
    </row>
    <row r="15" ht="30" customHeight="1" s="70">
      <c r="A15" s="77" t="inlineStr">
        <is>
          <t>Source  |  MIT NANDA — State of AI Business 2025  —  https://mlq.ai/media/quarterly_decks/v0.1_State_of_AI_in_Business_2025_Report.pdf</t>
        </is>
      </c>
    </row>
    <row r="16" ht="30" customHeight="1" s="70">
      <c r="A16" s="77" t="inlineStr">
        <is>
          <t>Source  |  Gartner — CFOs should reset expectations  —  https://www.gartner.com/en/newsroom/press-releases/2025-03-25-gartner-says-cfos-should-reset-expectations-about-ais-impact-on-workforce-productivity-and-headcount</t>
        </is>
      </c>
    </row>
    <row r="17" ht="30" customHeight="1" s="70">
      <c r="A17" s="77" t="inlineStr">
        <is>
          <t>Source  |  Dell'Acqua et al. — Jagged frontier (HBS)  —  https://www.hbs.edu/ris/Publication%20Files/24-013_d9b45b68-9e74-42d6-a1c6-c72fb70c7282.pdf</t>
        </is>
      </c>
    </row>
  </sheetData>
  <mergeCells count="7">
    <mergeCell ref="A15:H15"/>
    <mergeCell ref="A16:H16"/>
    <mergeCell ref="A2:H2"/>
    <mergeCell ref="A13:H13"/>
    <mergeCell ref="A14:H14"/>
    <mergeCell ref="A1:H1"/>
    <mergeCell ref="A17:H17"/>
  </mergeCells>
  <hyperlinks>
    <hyperlink xmlns:r="http://schemas.openxmlformats.org/officeDocument/2006/relationships" ref="A14" display="Source  |  Microsoft — Breaking down the infinite workday  —  https://www.microsoft.com/en-us/worklab/work-trend-index/breaking-down-infinite-workday" r:id="rId1"/>
    <hyperlink xmlns:r="http://schemas.openxmlformats.org/officeDocument/2006/relationships" ref="A15" display="Source  |  MIT NANDA — State of AI Business 2025  —  https://mlq.ai/media/quarterly_decks/v0.1_State_of_AI_in_Business_2025_Report.pdf" r:id="rId2"/>
    <hyperlink xmlns:r="http://schemas.openxmlformats.org/officeDocument/2006/relationships" ref="A16" display="Source  |  Gartner — CFOs should reset expectations  —  https://www.gartner.com/en/newsroom/press-releases/2025-03-25-gartner-says-cfos-should-reset-expectations-about-ais-impact-on-workforce-productivity-and-headcount" r:id="rId3"/>
    <hyperlink xmlns:r="http://schemas.openxmlformats.org/officeDocument/2006/relationships" ref="A17" display="Source  |  Dell'Acqua et al. — Jagged frontier (HBS)  —  https://www.hbs.edu/ris/Publication%20Files/24-013_d9b45b68-9e74-42d6-a1c6-c72fb70c7282.pdf" r:id="rId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2.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Z03  |  Value-based pricing implications — anchor at 20–40% on AI-fit tasks; never on headcount-replacement promises</t>
        </is>
      </c>
    </row>
    <row r="2" ht="21.75" customHeight="1" s="70">
      <c r="A2" s="84" t="inlineStr">
        <is>
          <t>How should AI vendors and AI-augmented services price, given this evidence?</t>
        </is>
      </c>
    </row>
    <row r="4" ht="23.25" customHeight="1" s="70">
      <c r="A4" s="79" t="inlineStr">
        <is>
          <t>Pricing decision</t>
        </is>
      </c>
      <c r="B4" s="79" t="inlineStr">
        <is>
          <t>Approach</t>
        </is>
      </c>
      <c r="C4" s="79" t="inlineStr">
        <is>
          <t>Evidence anchor</t>
        </is>
      </c>
      <c r="D4" s="79" t="inlineStr">
        <is>
          <t>Why</t>
        </is>
      </c>
    </row>
    <row r="5" ht="45.75" customHeight="1" s="70">
      <c r="A5" s="86" t="inlineStr">
        <is>
          <t>Anchor metric</t>
        </is>
      </c>
      <c r="B5" s="87" t="inlineStr">
        <is>
          <t>Per-seat / per-task uplift</t>
        </is>
      </c>
      <c r="C5" s="87" t="inlineStr">
        <is>
          <t>20–40% on AI-fit work (defensible)</t>
        </is>
      </c>
      <c r="D5" s="87" t="inlineStr">
        <is>
          <t>Beats outcome metrics with attribution issues</t>
        </is>
      </c>
    </row>
    <row r="6" ht="34.5" customHeight="1" s="70">
      <c r="A6" s="88" t="inlineStr">
        <is>
          <t>Avoid as anchor</t>
        </is>
      </c>
      <c r="B6" s="89" t="inlineStr">
        <is>
          <t>Headcount replacement</t>
        </is>
      </c>
      <c r="C6" s="89" t="inlineStr">
        <is>
          <t>Public reversals (Salesforce, Klarna)</t>
        </is>
      </c>
      <c r="D6" s="89" t="inlineStr">
        <is>
          <t>Brand and trust risk</t>
        </is>
      </c>
    </row>
    <row r="7" ht="23.25" customHeight="1" s="70">
      <c r="A7" s="86" t="inlineStr">
        <is>
          <t>Premium pricing zone</t>
        </is>
      </c>
      <c r="B7" s="87" t="inlineStr">
        <is>
          <t>Routine + low-skill cohort</t>
        </is>
      </c>
      <c r="C7" s="87" t="inlineStr">
        <is>
          <t>30–50% uplift documented</t>
        </is>
      </c>
      <c r="D7" s="87" t="inlineStr">
        <is>
          <t>Where ROI math is cleanest</t>
        </is>
      </c>
    </row>
    <row r="8" ht="34.5" customHeight="1" s="70">
      <c r="A8" s="88" t="inlineStr">
        <is>
          <t>Cautious pricing zone</t>
        </is>
      </c>
      <c r="B8" s="89" t="inlineStr">
        <is>
          <t>Non-routine + high-skill</t>
        </is>
      </c>
      <c r="C8" s="89" t="inlineStr">
        <is>
          <t>Often near zero or negative</t>
        </is>
      </c>
      <c r="D8" s="89" t="inlineStr">
        <is>
          <t>Sell as augmentation, not replacement</t>
        </is>
      </c>
    </row>
    <row r="9" ht="34.5" customHeight="1" s="70">
      <c r="A9" s="86" t="inlineStr">
        <is>
          <t>Outcome-based pricing</t>
        </is>
      </c>
      <c r="B9" s="87" t="inlineStr">
        <is>
          <t>Buyer-attributable metrics</t>
        </is>
      </c>
      <c r="C9" s="87" t="inlineStr">
        <is>
          <t>Use only where attribution is clean</t>
        </is>
      </c>
      <c r="D9" s="87" t="inlineStr">
        <is>
          <t>Cap downside risk</t>
        </is>
      </c>
    </row>
    <row r="10" ht="45.75" customHeight="1" s="70">
      <c r="A10" s="88" t="inlineStr">
        <is>
          <t>Bundling logic</t>
        </is>
      </c>
      <c r="B10" s="89" t="inlineStr">
        <is>
          <t>AI + workflow + governance</t>
        </is>
      </c>
      <c r="C10" s="89" t="inlineStr">
        <is>
          <t>MIT NANDA: bundle 67% success rate</t>
        </is>
      </c>
      <c r="D10" s="89" t="inlineStr">
        <is>
          <t>Vendor partnerships 3x more likely to ROI</t>
        </is>
      </c>
    </row>
    <row r="11" ht="23.25" customHeight="1" s="70">
      <c r="A11" s="86" t="inlineStr">
        <is>
          <t>Customer education</t>
        </is>
      </c>
      <c r="B11" s="87" t="inlineStr">
        <is>
          <t>Reliability + HITL framing</t>
        </is>
      </c>
      <c r="C11" s="87" t="inlineStr">
        <is>
          <t>Hallucination 1–51% by task</t>
        </is>
      </c>
      <c r="D11" s="87" t="inlineStr">
        <is>
          <t>Set expectations up-front</t>
        </is>
      </c>
    </row>
    <row r="12" ht="23.25" customHeight="1" s="70">
      <c r="A12" s="88" t="inlineStr">
        <is>
          <t>Differentiation moat</t>
        </is>
      </c>
      <c r="B12" s="89" t="inlineStr">
        <is>
          <t>Domain data + workflow</t>
        </is>
      </c>
      <c r="C12" s="89" t="inlineStr">
        <is>
          <t>Off-the-shelf LLM ≠ value</t>
        </is>
      </c>
      <c r="D12" s="89" t="inlineStr">
        <is>
          <t>Where vendors win MIT NANDA</t>
        </is>
      </c>
    </row>
    <row r="14" ht="54.75" customHeight="1" s="70">
      <c r="A14" s="90" t="inlineStr">
        <is>
          <t>Insight  |  The value-based pricing thesis for AI: price the green cells (routine, AI-fit, integrated workflows) at 20–40% TIME or COST premium captured. Reject 'replace X heads' frames — Salesforce-Klarna-IBM data make them un-defendable and brand-risky. Build pricing pages around per-task / per-hour value capture, not transformation promises.</t>
        </is>
      </c>
    </row>
    <row r="15" ht="30" customHeight="1" s="70">
      <c r="A15" s="77" t="inlineStr">
        <is>
          <t>Source  |  Bessemer — AI pricing &amp; monetization playbook  —  https://www.bvp.com/atlas/the-ai-pricing-and-monetization-playbook</t>
        </is>
      </c>
    </row>
    <row r="16" ht="30" customHeight="1" s="70">
      <c r="A16" s="77" t="inlineStr">
        <is>
          <t>Source  |  ROI Selling — 95% of AI sales investments fail  —  https://roi-selling.com/blog/aligning-buying-committees-from-conflicting-priorities-to-shared-framework-2-2-2-2-2-2</t>
        </is>
      </c>
    </row>
  </sheetData>
  <mergeCells count="5">
    <mergeCell ref="A15:H15"/>
    <mergeCell ref="A2:H2"/>
    <mergeCell ref="A16:H16"/>
    <mergeCell ref="A14:H14"/>
    <mergeCell ref="A1:H1"/>
  </mergeCells>
  <hyperlinks>
    <hyperlink xmlns:r="http://schemas.openxmlformats.org/officeDocument/2006/relationships" ref="A15" display="Source  |  Bessemer — AI pricing &amp; monetization playbook  —  https://www.bvp.com/atlas/the-ai-pricing-and-monetization-playbook" r:id="rId1"/>
    <hyperlink xmlns:r="http://schemas.openxmlformats.org/officeDocument/2006/relationships" ref="A16" display="Source  |  ROI Selling — 95% of AI sales investments fail  —  https://roi-selling.com/blog/aligning-buying-committees-from-conflicting-priorities-to-shared-framework-2-2-2-2-2-2"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3.xml><?xml version="1.0" encoding="utf-8"?>
<worksheet xmlns="http://schemas.openxmlformats.org/spreadsheetml/2006/main">
  <sheetPr filterMode="0">
    <outlinePr summaryBelow="1" summaryRight="1"/>
    <pageSetUpPr fitToPage="0"/>
  </sheetPr>
  <dimension ref="A1:H7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69" min="1" max="1"/>
    <col width="14" customWidth="1" style="69" min="2" max="8"/>
  </cols>
  <sheetData>
    <row r="1" ht="30" customHeight="1" s="70">
      <c r="A1" s="78" t="inlineStr">
        <is>
          <t>Z04  |  Sources &amp; methodology — every claim in this dossier is sourced to a primary publication or organization</t>
        </is>
      </c>
    </row>
    <row r="2" ht="21.75" customHeight="1" s="70">
      <c r="A2" s="84" t="inlineStr">
        <is>
          <t>Where can each headline number be verified, and what is the evidence hierarchy?</t>
        </is>
      </c>
    </row>
    <row r="4" ht="15" customHeight="1" s="70">
      <c r="A4" s="85" t="inlineStr">
        <is>
          <t>Evidence hierarchy used in this dossier</t>
        </is>
      </c>
    </row>
    <row r="5" ht="15" customHeight="1" s="70">
      <c r="A5" s="79" t="inlineStr">
        <is>
          <t>Hierarchy</t>
        </is>
      </c>
      <c r="B5" s="79" t="inlineStr">
        <is>
          <t>Sources cited</t>
        </is>
      </c>
      <c r="C5" s="79" t="inlineStr">
        <is>
          <t>Use</t>
        </is>
      </c>
    </row>
    <row r="6" ht="57" customHeight="1" s="70">
      <c r="A6" s="86" t="inlineStr">
        <is>
          <t>1. Randomised controlled trials (highest)</t>
        </is>
      </c>
      <c r="B6" s="87" t="inlineStr">
        <is>
          <t>Noy &amp; Zhang, Brynjolfsson et al., METR, Dell'Acqua et al., Copilot RCT</t>
        </is>
      </c>
      <c r="C6" s="87" t="inlineStr">
        <is>
          <t>Causal claims</t>
        </is>
      </c>
    </row>
    <row r="7" ht="68.25" customHeight="1" s="70">
      <c r="A7" s="88" t="inlineStr">
        <is>
          <t>2. Large-scale field deployments</t>
        </is>
      </c>
      <c r="B7" s="89" t="inlineStr">
        <is>
          <t>TPMG AI scribes, Brynjolfsson 5,179 agents, Khanmigo 1.36M threads</t>
        </is>
      </c>
      <c r="C7" s="89" t="inlineStr">
        <is>
          <t>Quasi-experimental</t>
        </is>
      </c>
    </row>
    <row r="8" ht="45.75" customHeight="1" s="70">
      <c r="A8" s="86" t="inlineStr">
        <is>
          <t>3. Government / academic surveys</t>
        </is>
      </c>
      <c r="B8" s="87" t="inlineStr">
        <is>
          <t>Census BTOS, Stanford AI Index, Federal Reserve notes</t>
        </is>
      </c>
      <c r="C8" s="87" t="inlineStr">
        <is>
          <t>Diffusion / adoption</t>
        </is>
      </c>
    </row>
    <row r="9" ht="45.75" customHeight="1" s="70">
      <c r="A9" s="88" t="inlineStr">
        <is>
          <t>4. Consulting firm surveys</t>
        </is>
      </c>
      <c r="B9" s="89" t="inlineStr">
        <is>
          <t>McKinsey State of AI, BCG AI at Work, Bain, Deloitte</t>
        </is>
      </c>
      <c r="C9" s="89" t="inlineStr">
        <is>
          <t>Enterprise self-report</t>
        </is>
      </c>
    </row>
    <row r="10" ht="57" customHeight="1" s="70">
      <c r="A10" s="86" t="inlineStr">
        <is>
          <t>5. Single-company case studies</t>
        </is>
      </c>
      <c r="B10" s="87" t="inlineStr">
        <is>
          <t>JPMorgan COIN, Salesforce, Klarna, IBM, Duolingo</t>
        </is>
      </c>
      <c r="C10" s="87" t="inlineStr">
        <is>
          <t>Anchor narratives</t>
        </is>
      </c>
    </row>
    <row r="11" ht="45.75" customHeight="1" s="70">
      <c r="A11" s="88" t="inlineStr">
        <is>
          <t>6. Vendor case studies (caveat)</t>
        </is>
      </c>
      <c r="B11" s="89" t="inlineStr">
        <is>
          <t>Salesforce Einstein, HubSpot, single SaaS cases</t>
        </is>
      </c>
      <c r="C11" s="89" t="inlineStr">
        <is>
          <t>Treated with caution</t>
        </is>
      </c>
    </row>
    <row r="13" ht="15" customHeight="1" s="70">
      <c r="A13" s="85" t="inlineStr">
        <is>
          <t>Master source list (full URLs)</t>
        </is>
      </c>
    </row>
    <row r="14" ht="21.75" customHeight="1" s="70">
      <c r="A14" s="77" t="inlineStr">
        <is>
          <t>Stanford HAI — AI Index 2025 (Economy chapter)  —  https://hai.stanford.edu/assets/files/hai_ai-index-report-2025_chapter4_final.pdf</t>
        </is>
      </c>
    </row>
    <row r="15" ht="21.75" customHeight="1" s="70">
      <c r="A15" s="77" t="inlineStr">
        <is>
          <t>Stanford HAI — AI Index 2025 (overview)  —  https://hai.stanford.edu/ai-index/2025-ai-index-report</t>
        </is>
      </c>
    </row>
    <row r="16" ht="21.75" customHeight="1" s="70">
      <c r="A16" s="77" t="inlineStr">
        <is>
          <t>McKinsey — Economic potential of generative AI  —  https://www.mckinsey.com/capabilities/tech-and-ai/our-insights/the-economic-potential-of-generative-ai-the-next-productivity-frontier</t>
        </is>
      </c>
    </row>
    <row r="17" ht="21.75" customHeight="1" s="70">
      <c r="A17" s="77" t="inlineStr">
        <is>
          <t>McKinsey — State of AI 2025 (PDF)  —  https://www.mckinsey.com/~/media/mckinsey/business%20functions/quantumblack/our%20insights/the%20state%20of%20ai/november%202025/the-state-of-ai-2025-agents-innovation_cmyk-v1.pdf</t>
        </is>
      </c>
    </row>
    <row r="18" ht="21.75" customHeight="1" s="70">
      <c r="A18" s="77" t="inlineStr">
        <is>
          <t>McKinsey — State of AI 2024  —  https://www.mckinsey.com/capabilities/quantumblack/our-insights/the-state-of-ai-2024</t>
        </is>
      </c>
    </row>
    <row r="19" ht="21.75" customHeight="1" s="70">
      <c r="A19" s="77" t="inlineStr">
        <is>
          <t>McKinsey — Healthcare GenAI  —  https://www.mckinsey.com/industries/healthcare/our-insights/generative-ai-in-healthcare-current-trends-and-future-outlook</t>
        </is>
      </c>
    </row>
    <row r="20" ht="21.75" customHeight="1" s="70">
      <c r="A20" s="77" t="inlineStr">
        <is>
          <t>McKinsey — Manufacturing lighthouses  —  https://www.mckinsey.com/capabilities/operations/our-insights/how-manufacturings-lighthouses-are-capturing-the-full-value-of-ai</t>
        </is>
      </c>
    </row>
    <row r="21" ht="21.75" customHeight="1" s="70">
      <c r="A21" s="77" t="inlineStr">
        <is>
          <t>McKinsey — From pilots to performance  —  https://www.mckinsey.com/capabilities/operations/our-insights/from-pilots-to-performance-how-coos-can-scale-ai-in-manufacturing</t>
        </is>
      </c>
    </row>
    <row r="22" ht="21.75" customHeight="1" s="70">
      <c r="A22" s="77" t="inlineStr">
        <is>
          <t>MIT NANDA — State of AI in Business 2025 (PDF)  —  https://mlq.ai/media/quarterly_decks/v0.1_State_of_AI_in_Business_2025_Report.pdf</t>
        </is>
      </c>
    </row>
    <row r="23" ht="21.75" customHeight="1" s="70">
      <c r="A23" s="77" t="inlineStr">
        <is>
          <t>Fortune — MIT 95% pilots failing  —  https://fortune.com/2025/08/18/mit-report-95-percent-generative-ai-pilots-at-companies-failing-cfo/</t>
        </is>
      </c>
    </row>
    <row r="24" ht="21.75" customHeight="1" s="70">
      <c r="A24" s="77" t="inlineStr">
        <is>
          <t>Acemoglu — Simple Macroeconomics of AI (PDF)  —  https://economics.mit.edu/sites/default/files/2024-04/The%20Simple%20Macroeconomics%20of%20AI.pdf</t>
        </is>
      </c>
    </row>
    <row r="25" ht="21.75" customHeight="1" s="70">
      <c r="A25" s="77" t="inlineStr">
        <is>
          <t>Acemoglu — NBER w32487  —  https://www.nber.org/papers/w32487</t>
        </is>
      </c>
    </row>
    <row r="26" ht="21.75" customHeight="1" s="70">
      <c r="A26" s="77" t="inlineStr">
        <is>
          <t>Goldman Sachs — 7% global GDP  —  https://www.goldmansachs.com/insights/articles/generative-ai-could-raise-global-gdp-by-7-percent</t>
        </is>
      </c>
    </row>
    <row r="27" ht="21.75" customHeight="1" s="70">
      <c r="A27" s="77" t="inlineStr">
        <is>
          <t>Goldman — Briggs/Kodnani report PDF  —  https://www.gspublishing.com/content/research/en/reports/2023/03/27/d64e052b-0f6e-45d7-967b-d7be35fabd16.pdf</t>
        </is>
      </c>
    </row>
    <row r="28" ht="21.75" customHeight="1" s="70">
      <c r="A28" s="77" t="inlineStr">
        <is>
          <t>Tom's Hardware — Hatzius basically zero  —  https://www.tomshardware.com/tech-industry/artificial-intelligence/ai-boosted-us-economy-by-basically-zero-in-2025-says-goldman-sachs-chief-economist-we-think-theres-been-a-lot-of-misreporting-of-the-impact-that-ai-investment-had-on-gdp-growth</t>
        </is>
      </c>
    </row>
    <row r="29" ht="21.75" customHeight="1" s="70">
      <c r="A29" s="77" t="inlineStr">
        <is>
          <t>PwC AI Jobs Barometer 2025  —  https://www.pwc.com/gx/en/services/ai/ai-jobs-barometer.html</t>
        </is>
      </c>
    </row>
    <row r="30" ht="21.75" customHeight="1" s="70">
      <c r="A30" s="77" t="inlineStr">
        <is>
          <t>PwC — fourfold productivity growth release  —  https://www.pwc.com/gx/en/news-room/press-releases/2025/ai-linked-to-a-fourfold-increase-in-productivity-growth.html</t>
        </is>
      </c>
    </row>
    <row r="31" ht="21.75" customHeight="1" s="70">
      <c r="A31" s="77" t="inlineStr">
        <is>
          <t>Noy &amp; Zhang — Science 2023  —  https://www.science.org/doi/10.1126/science.adh2586</t>
        </is>
      </c>
    </row>
    <row r="32" ht="21.75" customHeight="1" s="70">
      <c r="A32" s="77" t="inlineStr">
        <is>
          <t>MIT News — Noy/Zhang summary  —  https://news.mit.edu/2023/study-finds-chatgpt-boosts-worker-productivity-writing-0714</t>
        </is>
      </c>
    </row>
    <row r="33" ht="21.75" customHeight="1" s="70">
      <c r="A33" s="77" t="inlineStr">
        <is>
          <t>Brynjolfsson, Li, Raymond — NBER w31161  —  https://www.nber.org/papers/w31161</t>
        </is>
      </c>
    </row>
    <row r="34" ht="21.75" customHeight="1" s="70">
      <c r="A34" s="77" t="inlineStr">
        <is>
          <t>Brynjolfsson — QJE 2025 published  —  https://academic.oup.com/qje/article/140/2/889/7990658</t>
        </is>
      </c>
    </row>
    <row r="35" ht="21.75" customHeight="1" s="70">
      <c r="A35" s="77" t="inlineStr">
        <is>
          <t>Dell'Acqua et al. — HBS Jagged Frontier (PDF)  —  https://www.hbs.edu/ris/Publication%20Files/24-013_d9b45b68-9e74-42d6-a1c6-c72fb70c7282.pdf</t>
        </is>
      </c>
    </row>
    <row r="36" ht="21.75" customHeight="1" s="70">
      <c r="A36" s="77" t="inlineStr">
        <is>
          <t>HBS — Jagged Frontier project page  —  https://www.hbs.edu/faculty/Pages/item.aspx?num=64700</t>
        </is>
      </c>
    </row>
    <row r="37" ht="21.75" customHeight="1" s="70">
      <c r="A37" s="77" t="inlineStr">
        <is>
          <t>GitHub Copilot study — arXiv 2302.06590  —  https://arxiv.org/abs/2302.06590</t>
        </is>
      </c>
    </row>
    <row r="38" ht="21.75" customHeight="1" s="70">
      <c r="A38" s="77" t="inlineStr">
        <is>
          <t>GitHub blog — 55% productivity finding  —  https://github.blog/news-insights/research/research-quantifying-github-copilots-impact-on-developer-productivity-and-happiness/</t>
        </is>
      </c>
    </row>
    <row r="39" ht="21.75" customHeight="1" s="70">
      <c r="A39" s="77" t="inlineStr">
        <is>
          <t>METR — early-2025 AI on OSS devs  —  https://metr.org/blog/2025-07-10-early-2025-ai-experienced-os-dev-study/</t>
        </is>
      </c>
    </row>
    <row r="40" ht="21.75" customHeight="1" s="70">
      <c r="A40" s="77" t="inlineStr">
        <is>
          <t>METR — arXiv 2507.09089  —  https://arxiv.org/abs/2507.09089</t>
        </is>
      </c>
    </row>
    <row r="41" ht="21.75" customHeight="1" s="70">
      <c r="A41" s="77" t="inlineStr">
        <is>
          <t>BCG — AI at Work 2025 (June)  —  https://www.bcg.com/publications/2025/ai-at-work-momentum-builds-but-gaps-remain</t>
        </is>
      </c>
    </row>
    <row r="42" ht="21.75" customHeight="1" s="70">
      <c r="A42" s="77" t="inlineStr">
        <is>
          <t>BCG — AI at Work 2025 (slideshow PDF)  —  https://web-assets.bcg.com/fd/0d/bcc5dfae4cbaa08c718b95b16cf5/ai-at-work-2025-slideshow-june-2025-edit-02.pdf</t>
        </is>
      </c>
    </row>
    <row r="43" ht="21.75" customHeight="1" s="70">
      <c r="A43" s="77" t="inlineStr">
        <is>
          <t>Microsoft Work Trend Index 2024  —  https://www.microsoft.com/en-us/worklab/work-trend-index/ai-at-work-is-here-now-comes-the-hard-part</t>
        </is>
      </c>
    </row>
    <row r="44" ht="21.75" customHeight="1" s="70">
      <c r="A44" s="77" t="inlineStr">
        <is>
          <t>Microsoft — Breaking down infinite workday  —  https://www.microsoft.com/en-us/worklab/work-trend-index/breaking-down-infinite-workday</t>
        </is>
      </c>
    </row>
    <row r="45" ht="21.75" customHeight="1" s="70">
      <c r="A45" s="77" t="inlineStr">
        <is>
          <t>Census BTOS — Tracking firm AI use (paper)  —  https://www.census.gov/library/working-papers/2024/adrm/CES-WP-24-16.html</t>
        </is>
      </c>
    </row>
    <row r="46" ht="21.75" customHeight="1" s="70">
      <c r="A46" s="77" t="inlineStr">
        <is>
          <t>Federal Reserve — Monitoring AI adoption  —  https://www.federalreserve.gov/econres/notes/feds-notes/monitoring-ai-adoption-in-the-u-s-economy-20260403.html</t>
        </is>
      </c>
    </row>
    <row r="47" ht="21.75" customHeight="1" s="70">
      <c r="A47" s="77" t="inlineStr">
        <is>
          <t>RAND — Why AI Projects Fail  —  https://www.rand.org/pubs/research_reports/RRA2680-1.html</t>
        </is>
      </c>
    </row>
    <row r="48" ht="21.75" customHeight="1" s="70">
      <c r="A48" s="77" t="inlineStr">
        <is>
          <t>Salesforce — Fortune CEO 'I need less heads'  —  https://fortune.com/2025/09/02/salesforce-ceo-billionaire-marc-benioff-ai-agents-jobs-layoffs-customer-service-sales/</t>
        </is>
      </c>
    </row>
    <row r="49" ht="21.75" customHeight="1" s="70">
      <c r="A49" s="77" t="inlineStr">
        <is>
          <t>Salesforce — CNBC 4000 layoffs  —  https://www.cnbc.com/2025/09/02/salesforce-ceo-confirms-4000-layoffs-because-i-need-less-heads-with-ai.html</t>
        </is>
      </c>
    </row>
    <row r="50" ht="21.75" customHeight="1" s="70">
      <c r="A50" s="77" t="inlineStr">
        <is>
          <t>Salesforce — Wipfli analysis of failure  —  https://www.wipfli.com/insights/articles/salesforce-failed-to-replace-thousands-of-workers-with-ai-what-can-your-business-learn</t>
        </is>
      </c>
    </row>
    <row r="51" ht="21.75" customHeight="1" s="70">
      <c r="A51" s="77" t="inlineStr">
        <is>
          <t>Salesforce — The420.in support cut analysis  —  https://the420.in/salesforce-4000-layoffs-ai-overconfidence-exec-admission/</t>
        </is>
      </c>
    </row>
    <row r="52" ht="21.75" customHeight="1" s="70">
      <c r="A52" s="77" t="inlineStr">
        <is>
          <t>Klarna — Entrepreneur rehiring  —  https://www.entrepreneur.com/business-news/klarna-ceo-reverses-course-by-hiring-more-humans-not-ai/491396</t>
        </is>
      </c>
    </row>
    <row r="53" ht="21.75" customHeight="1" s="70">
      <c r="A53" s="77" t="inlineStr">
        <is>
          <t>Klarna — Futurism wants humans back  —  https://futurism.com/klarna-openai-humans-ai-back</t>
        </is>
      </c>
    </row>
    <row r="54" ht="21.75" customHeight="1" s="70">
      <c r="A54" s="77" t="inlineStr">
        <is>
          <t>Klarna — FinTech Weekly reversal  —  https://www.fintechweekly.com/magazine/articles/klarna-hires-customer-service-after-ai-pivot</t>
        </is>
      </c>
    </row>
    <row r="55" ht="21.75" customHeight="1" s="70">
      <c r="A55" s="77" t="inlineStr">
        <is>
          <t>IBM — Entrepreneur CEO HR replacement  —  https://www.entrepreneur.com/business-news/ibm-ceo-ai-replaced-hundreds-of-human-resources-staff/491341</t>
        </is>
      </c>
    </row>
    <row r="56" ht="21.75" customHeight="1" s="70">
      <c r="A56" s="77" t="inlineStr">
        <is>
          <t>IBM — AIC total employment up  —  https://aicommission.org/2025/05/our-total-employment-has-gone-up-what-ibm-ceo-arvind-krishna-says-on-ai-replacing-several-hundred-jobs/</t>
        </is>
      </c>
    </row>
    <row r="57" ht="21.75" customHeight="1" s="70">
      <c r="A57" s="77" t="inlineStr">
        <is>
          <t>Duolingo — Fortune AI memo walked back  —  https://fortune.com/2025/08/18/duolingo-ceo-admits-controversial-ai-memo-did-not-give-enough-context-insists-company-never-laid-off-full-time-employees/</t>
        </is>
      </c>
    </row>
    <row r="58" ht="21.75" customHeight="1" s="70">
      <c r="A58" s="77" t="inlineStr">
        <is>
          <t>Duolingo — CNBC no layoffs  —  https://www.cnbc.com/2025/09/17/duolingo-ceo-how-ai-makes-my-employees-more-productive-without-layoffs.html</t>
        </is>
      </c>
    </row>
    <row r="59" ht="21.75" customHeight="1" s="70">
      <c r="A59" s="77" t="inlineStr">
        <is>
          <t>Choi &amp; Schwarcz — AI in legal analysis (SSRN)  —  https://papers.ssrn.com/sol3/papers.cfm?abstract_id=4539836</t>
        </is>
      </c>
    </row>
    <row r="60" ht="21.75" customHeight="1" s="70">
      <c r="A60" s="77" t="inlineStr">
        <is>
          <t>Choi et al. — Lawyering in the Age of AI  —  https://ssrn.com/abstract=4626276</t>
        </is>
      </c>
    </row>
    <row r="61" ht="21.75" customHeight="1" s="70">
      <c r="A61" s="77" t="inlineStr">
        <is>
          <t>Choi et al. — ChatGPT goes to law school  —  https://papers.ssrn.com/sol3/papers.cfm?abstract_id=4335905</t>
        </is>
      </c>
    </row>
    <row r="62" ht="21.75" customHeight="1" s="70">
      <c r="A62" s="77" t="inlineStr">
        <is>
          <t>JPMorgan COIN — ABA Journal  —  https://www.abajournal.com/news/article/jpmorgan_chase_uses_tech_to_save_360000_hours_of_annual_work_by_lawyers_and</t>
        </is>
      </c>
    </row>
    <row r="63" ht="21.75" customHeight="1" s="70">
      <c r="A63" s="77" t="inlineStr">
        <is>
          <t>AMA — AI scribes save 15,000 hours  —  https://www.ama-assn.org/practice-management/digital-health/ai-scribes-save-15000-hours-and-restore-human-side-medicine</t>
        </is>
      </c>
    </row>
    <row r="64" ht="21.75" customHeight="1" s="70">
      <c r="A64" s="77" t="inlineStr">
        <is>
          <t>JAMA Network Open — Ambient AI scribes  —  https://jamanetwork.com/journals/jamanetworkopen/fullarticle/2839542</t>
        </is>
      </c>
    </row>
    <row r="65" ht="21.75" customHeight="1" s="70">
      <c r="A65" s="77" t="inlineStr">
        <is>
          <t>UCLA Health — AI scribes documentation  —  https://www.uclahealth.org/news/release/ucla-study-finds-ai-scribes-may-reduce-documentation-time</t>
        </is>
      </c>
    </row>
    <row r="66" ht="21.75" customHeight="1" s="70">
      <c r="A66" s="77" t="inlineStr">
        <is>
          <t>STAT — large AI scribe study  —  https://www.statnews.com/2026/04/01/ai-ambient-scribes-modest-time-savings-clinical-documentation/</t>
        </is>
      </c>
    </row>
    <row r="67" ht="21.75" customHeight="1" s="70">
      <c r="A67" s="77" t="inlineStr">
        <is>
          <t>Springer — AI + BIM construction methodologies  —  https://link.springer.com/article/10.1007/s43995-025-00193-2</t>
        </is>
      </c>
    </row>
    <row r="68" ht="21.75" customHeight="1" s="70">
      <c r="A68" s="77" t="inlineStr">
        <is>
          <t>Autodesk — Top 2025 AI construction trends  —  https://www.autodesk.com/blogs/construction/top-2025-ai-construction-trends-according-to-the-experts/</t>
        </is>
      </c>
    </row>
    <row r="69" ht="21.75" customHeight="1" s="70">
      <c r="A69" s="77" t="inlineStr">
        <is>
          <t>Khan Academy — building a better AI tutor  —  https://blog.khanacademy.org/how-khan-academy-is-building-a-better-ai-tutor-our-most-recent-learnings/</t>
        </is>
      </c>
    </row>
    <row r="70" ht="21.75" customHeight="1" s="70">
      <c r="A70" s="77" t="inlineStr">
        <is>
          <t>J-PAL — Khanmigo evaluation project  —  https://www.povertyactionlab.org/initiative-project/ai-powered-tutoring-unleashing-full-potential-personalized-learning-khanmigo</t>
        </is>
      </c>
    </row>
    <row r="71" ht="21.75" customHeight="1" s="70">
      <c r="A71" s="77" t="inlineStr">
        <is>
          <t>Deloitte — AI in federal government  —  https://www.deloitte.com/us/en/Industries/government-public/articles/ai-in-federal-government.html</t>
        </is>
      </c>
    </row>
    <row r="72" ht="21.75" customHeight="1" s="70">
      <c r="A72" s="77" t="inlineStr">
        <is>
          <t>Deloitte — Scaling AI for government  —  https://www.deloitte.com/us/en/insights/industry/government-public-sector-services/government-trends/2025/scaling-ai-in-government.html</t>
        </is>
      </c>
    </row>
    <row r="73" ht="21.75" customHeight="1" s="70">
      <c r="A73" s="77" t="inlineStr">
        <is>
          <t>Bain — AI in sales productivity 2025  —  https://www.bain.com/insights/ai-transforming-productivity-sales-remains-new-frontier-technology-report-2025/</t>
        </is>
      </c>
    </row>
    <row r="74" ht="21.75" customHeight="1" s="70">
      <c r="A74" s="77" t="inlineStr">
        <is>
          <t>Bessemer — AI pricing playbook  —  https://www.bvp.com/atlas/the-ai-pricing-and-monetization-playbook</t>
        </is>
      </c>
    </row>
    <row r="75" ht="21.75" customHeight="1" s="70">
      <c r="A75" s="77" t="inlineStr">
        <is>
          <t>Statista — AI in productivity &amp; labor  —  https://www.statista.com/topics/11516/artificial-intelligence-ai-in-labor-and-productivity/</t>
        </is>
      </c>
    </row>
    <row r="76" ht="21.75" customHeight="1" s="70">
      <c r="A76" s="77" t="inlineStr">
        <is>
          <t>Gartner — CFOs should reset expectations  —  https://www.gartner.com/en/newsroom/press-releases/2025-03-25-gartner-says-cfos-should-reset-expectations-about-ais-impact-on-workforce-productivity-and-headcount</t>
        </is>
      </c>
    </row>
    <row r="77" ht="21.75" customHeight="1" s="70">
      <c r="A77" s="77" t="inlineStr">
        <is>
          <t>Suprmind — AI hallucination rates 2026  —  https://suprmind.ai/hub/ai-hallucination-rates-and-benchmarks/</t>
        </is>
      </c>
    </row>
    <row r="78" ht="21.75" customHeight="1" s="70">
      <c r="A78" s="77" t="inlineStr">
        <is>
          <t>Hacker News — Salesforce regrets thread  —  https://news.ycombinator.com/item?id=46384781</t>
        </is>
      </c>
    </row>
  </sheetData>
  <mergeCells count="67">
    <mergeCell ref="A67:H67"/>
    <mergeCell ref="A48:H48"/>
    <mergeCell ref="A30:H30"/>
    <mergeCell ref="A77:H77"/>
    <mergeCell ref="A39:H39"/>
    <mergeCell ref="A15:H15"/>
    <mergeCell ref="A59:H59"/>
    <mergeCell ref="A24:H24"/>
    <mergeCell ref="A73:H73"/>
    <mergeCell ref="A51:H51"/>
    <mergeCell ref="A64:H64"/>
    <mergeCell ref="A60:H60"/>
    <mergeCell ref="A36:H36"/>
    <mergeCell ref="A49:H49"/>
    <mergeCell ref="A45:H45"/>
    <mergeCell ref="A1:H1"/>
    <mergeCell ref="A61:H61"/>
    <mergeCell ref="A70:H70"/>
    <mergeCell ref="A78:H78"/>
    <mergeCell ref="A69:H69"/>
    <mergeCell ref="A25:H25"/>
    <mergeCell ref="A65:H65"/>
    <mergeCell ref="A16:H16"/>
    <mergeCell ref="A54:H54"/>
    <mergeCell ref="A41:H41"/>
    <mergeCell ref="A66:H66"/>
    <mergeCell ref="A37:H37"/>
    <mergeCell ref="A46:H46"/>
    <mergeCell ref="A27:H27"/>
    <mergeCell ref="A75:H75"/>
    <mergeCell ref="A74:H74"/>
    <mergeCell ref="A18:H18"/>
    <mergeCell ref="A50:H50"/>
    <mergeCell ref="A56:H56"/>
    <mergeCell ref="A26:H26"/>
    <mergeCell ref="A21:H21"/>
    <mergeCell ref="A55:H55"/>
    <mergeCell ref="A57:H57"/>
    <mergeCell ref="A2:H2"/>
    <mergeCell ref="A71:H71"/>
    <mergeCell ref="A42:H42"/>
    <mergeCell ref="A76:H76"/>
    <mergeCell ref="A33:H33"/>
    <mergeCell ref="A14:H14"/>
    <mergeCell ref="A47:H47"/>
    <mergeCell ref="A23:H23"/>
    <mergeCell ref="A32:H32"/>
    <mergeCell ref="A22:H22"/>
    <mergeCell ref="A17:H17"/>
    <mergeCell ref="A62:H62"/>
    <mergeCell ref="A53:H53"/>
    <mergeCell ref="A29:H29"/>
    <mergeCell ref="A35:H35"/>
    <mergeCell ref="A34:H34"/>
    <mergeCell ref="A20:H20"/>
    <mergeCell ref="A38:H38"/>
    <mergeCell ref="A43:H43"/>
    <mergeCell ref="A63:H63"/>
    <mergeCell ref="A52:H52"/>
    <mergeCell ref="A72:H72"/>
    <mergeCell ref="A28:H28"/>
    <mergeCell ref="A19:H19"/>
    <mergeCell ref="A68:H68"/>
    <mergeCell ref="A44:H44"/>
    <mergeCell ref="A31:H31"/>
    <mergeCell ref="A58:H58"/>
    <mergeCell ref="A40:H40"/>
  </mergeCells>
  <hyperlinks>
    <hyperlink xmlns:r="http://schemas.openxmlformats.org/officeDocument/2006/relationships" ref="A14" display="Stanford HAI — AI Index 2025 (Economy chapter)  —  https://hai.stanford.edu/assets/files/hai_ai-index-report-2025_chapter4_final.pdf" r:id="rId1"/>
    <hyperlink xmlns:r="http://schemas.openxmlformats.org/officeDocument/2006/relationships" ref="A15" display="Stanford HAI — AI Index 2025 (overview)  —  https://hai.stanford.edu/ai-index/2025-ai-index-report" r:id="rId2"/>
    <hyperlink xmlns:r="http://schemas.openxmlformats.org/officeDocument/2006/relationships" ref="A16" display="McKinsey — Economic potential of generative AI  —  https://www.mckinsey.com/capabilities/tech-and-ai/our-insights/the-economic-potential-of-generative-ai-the-next-productivity-frontier" r:id="rId3"/>
    <hyperlink xmlns:r="http://schemas.openxmlformats.org/officeDocument/2006/relationships" ref="A17" display="McKinsey — State of AI 2025 (PDF)  —  https://www.mckinsey.com/~/media/mckinsey/business%20functions/quantumblack/our%20insights/the%20state%20of%20ai/november%202025/the-state-of-ai-2025-agents-innovation_cmyk-v1.pdf" r:id="rId4"/>
    <hyperlink xmlns:r="http://schemas.openxmlformats.org/officeDocument/2006/relationships" ref="A18" display="McKinsey — State of AI 2024  —  https://www.mckinsey.com/capabilities/quantumblack/our-insights/the-state-of-ai-2024" r:id="rId5"/>
    <hyperlink xmlns:r="http://schemas.openxmlformats.org/officeDocument/2006/relationships" ref="A19" display="McKinsey — Healthcare GenAI  —  https://www.mckinsey.com/industries/healthcare/our-insights/generative-ai-in-healthcare-current-trends-and-future-outlook" r:id="rId6"/>
    <hyperlink xmlns:r="http://schemas.openxmlformats.org/officeDocument/2006/relationships" ref="A20" display="McKinsey — Manufacturing lighthouses  —  https://www.mckinsey.com/capabilities/operations/our-insights/how-manufacturings-lighthouses-are-capturing-the-full-value-of-ai" r:id="rId7"/>
    <hyperlink xmlns:r="http://schemas.openxmlformats.org/officeDocument/2006/relationships" ref="A21" display="McKinsey — From pilots to performance  —  https://www.mckinsey.com/capabilities/operations/our-insights/from-pilots-to-performance-how-coos-can-scale-ai-in-manufacturing" r:id="rId8"/>
    <hyperlink xmlns:r="http://schemas.openxmlformats.org/officeDocument/2006/relationships" ref="A22" display="MIT NANDA — State of AI in Business 2025 (PDF)  —  https://mlq.ai/media/quarterly_decks/v0.1_State_of_AI_in_Business_2025_Report.pdf" r:id="rId9"/>
    <hyperlink xmlns:r="http://schemas.openxmlformats.org/officeDocument/2006/relationships" ref="A23" display="Fortune — MIT 95% pilots failing  —  https://fortune.com/2025/08/18/mit-report-95-percent-generative-ai-pilots-at-companies-failing-cfo/" r:id="rId10"/>
    <hyperlink xmlns:r="http://schemas.openxmlformats.org/officeDocument/2006/relationships" ref="A24" display="Acemoglu — Simple Macroeconomics of AI (PDF)  —  https://economics.mit.edu/sites/default/files/2024-04/The%20Simple%20Macroeconomics%20of%20AI.pdf" r:id="rId11"/>
    <hyperlink xmlns:r="http://schemas.openxmlformats.org/officeDocument/2006/relationships" ref="A25" display="Acemoglu — NBER w32487  —  https://www.nber.org/papers/w32487" r:id="rId12"/>
    <hyperlink xmlns:r="http://schemas.openxmlformats.org/officeDocument/2006/relationships" ref="A26" display="Goldman Sachs — 7% global GDP  —  https://www.goldmansachs.com/insights/articles/generative-ai-could-raise-global-gdp-by-7-percent" r:id="rId13"/>
    <hyperlink xmlns:r="http://schemas.openxmlformats.org/officeDocument/2006/relationships" ref="A27" display="Goldman — Briggs/Kodnani report PDF  —  https://www.gspublishing.com/content/research/en/reports/2023/03/27/d64e052b-0f6e-45d7-967b-d7be35fabd16.pdf" r:id="rId14"/>
    <hyperlink xmlns:r="http://schemas.openxmlformats.org/officeDocument/2006/relationships" ref="A28" display="Tom's Hardware — Hatzius basically zero  —  https://www.tomshardware.com/tech-industry/artificial-intelligence/ai-boosted-us-economy-by-basically-zero-in-2025-says-goldman-sachs-chief-economist-we-think-theres-been-a-lot-of-misreporting-of-the-impact-that-ai-investment-had-on-gdp-growth" r:id="rId15"/>
    <hyperlink xmlns:r="http://schemas.openxmlformats.org/officeDocument/2006/relationships" ref="A29" display="PwC AI Jobs Barometer 2025  —  https://www.pwc.com/gx/en/services/ai/ai-jobs-barometer.html" r:id="rId16"/>
    <hyperlink xmlns:r="http://schemas.openxmlformats.org/officeDocument/2006/relationships" ref="A30" display="PwC — fourfold productivity growth release  —  https://www.pwc.com/gx/en/news-room/press-releases/2025/ai-linked-to-a-fourfold-increase-in-productivity-growth.html" r:id="rId17"/>
    <hyperlink xmlns:r="http://schemas.openxmlformats.org/officeDocument/2006/relationships" ref="A31" display="Noy &amp; Zhang — Science 2023  —  https://www.science.org/doi/10.1126/science.adh2586" r:id="rId18"/>
    <hyperlink xmlns:r="http://schemas.openxmlformats.org/officeDocument/2006/relationships" ref="A32" display="MIT News — Noy/Zhang summary  —  https://news.mit.edu/2023/study-finds-chatgpt-boosts-worker-productivity-writing-0714" r:id="rId19"/>
    <hyperlink xmlns:r="http://schemas.openxmlformats.org/officeDocument/2006/relationships" ref="A33" display="Brynjolfsson, Li, Raymond — NBER w31161  —  https://www.nber.org/papers/w31161" r:id="rId20"/>
    <hyperlink xmlns:r="http://schemas.openxmlformats.org/officeDocument/2006/relationships" ref="A34" display="Brynjolfsson — QJE 2025 published  —  https://academic.oup.com/qje/article/140/2/889/7990658" r:id="rId21"/>
    <hyperlink xmlns:r="http://schemas.openxmlformats.org/officeDocument/2006/relationships" ref="A35" display="Dell'Acqua et al. — HBS Jagged Frontier (PDF)  —  https://www.hbs.edu/ris/Publication%20Files/24-013_d9b45b68-9e74-42d6-a1c6-c72fb70c7282.pdf" r:id="rId22"/>
    <hyperlink xmlns:r="http://schemas.openxmlformats.org/officeDocument/2006/relationships" ref="A36" display="HBS — Jagged Frontier project page  —  https://www.hbs.edu/faculty/Pages/item.aspx?num=64700" r:id="rId23"/>
    <hyperlink xmlns:r="http://schemas.openxmlformats.org/officeDocument/2006/relationships" ref="A37" display="GitHub Copilot study — arXiv 2302.06590  —  https://arxiv.org/abs/2302.06590" r:id="rId24"/>
    <hyperlink xmlns:r="http://schemas.openxmlformats.org/officeDocument/2006/relationships" ref="A38" display="GitHub blog — 55% productivity finding  —  https://github.blog/news-insights/research/research-quantifying-github-copilots-impact-on-developer-productivity-and-happiness/" r:id="rId25"/>
    <hyperlink xmlns:r="http://schemas.openxmlformats.org/officeDocument/2006/relationships" ref="A39" display="METR — early-2025 AI on OSS devs  —  https://metr.org/blog/2025-07-10-early-2025-ai-experienced-os-dev-study/" r:id="rId26"/>
    <hyperlink xmlns:r="http://schemas.openxmlformats.org/officeDocument/2006/relationships" ref="A40" display="METR — arXiv 2507.09089  —  https://arxiv.org/abs/2507.09089" r:id="rId27"/>
    <hyperlink xmlns:r="http://schemas.openxmlformats.org/officeDocument/2006/relationships" ref="A41" display="BCG — AI at Work 2025 (June)  —  https://www.bcg.com/publications/2025/ai-at-work-momentum-builds-but-gaps-remain" r:id="rId28"/>
    <hyperlink xmlns:r="http://schemas.openxmlformats.org/officeDocument/2006/relationships" ref="A42" display="BCG — AI at Work 2025 (slideshow PDF)  —  https://web-assets.bcg.com/fd/0d/bcc5dfae4cbaa08c718b95b16cf5/ai-at-work-2025-slideshow-june-2025-edit-02.pdf" r:id="rId29"/>
    <hyperlink xmlns:r="http://schemas.openxmlformats.org/officeDocument/2006/relationships" ref="A43" display="Microsoft Work Trend Index 2024  —  https://www.microsoft.com/en-us/worklab/work-trend-index/ai-at-work-is-here-now-comes-the-hard-part" r:id="rId30"/>
    <hyperlink xmlns:r="http://schemas.openxmlformats.org/officeDocument/2006/relationships" ref="A44" display="Microsoft — Breaking down infinite workday  —  https://www.microsoft.com/en-us/worklab/work-trend-index/breaking-down-infinite-workday" r:id="rId31"/>
    <hyperlink xmlns:r="http://schemas.openxmlformats.org/officeDocument/2006/relationships" ref="A45" display="Census BTOS — Tracking firm AI use (paper)  —  https://www.census.gov/library/working-papers/2024/adrm/CES-WP-24-16.html" r:id="rId32"/>
    <hyperlink xmlns:r="http://schemas.openxmlformats.org/officeDocument/2006/relationships" ref="A46" display="Federal Reserve — Monitoring AI adoption  —  https://www.federalreserve.gov/econres/notes/feds-notes/monitoring-ai-adoption-in-the-u-s-economy-20260403.html" r:id="rId33"/>
    <hyperlink xmlns:r="http://schemas.openxmlformats.org/officeDocument/2006/relationships" ref="A47" display="RAND — Why AI Projects Fail  —  https://www.rand.org/pubs/research_reports/RRA2680-1.html" r:id="rId34"/>
    <hyperlink xmlns:r="http://schemas.openxmlformats.org/officeDocument/2006/relationships" ref="A48" display="Salesforce — Fortune CEO 'I need less heads'  —  https://fortune.com/2025/09/02/salesforce-ceo-billionaire-marc-benioff-ai-agents-jobs-layoffs-customer-service-sales/" r:id="rId35"/>
    <hyperlink xmlns:r="http://schemas.openxmlformats.org/officeDocument/2006/relationships" ref="A49" display="Salesforce — CNBC 4000 layoffs  —  https://www.cnbc.com/2025/09/02/salesforce-ceo-confirms-4000-layoffs-because-i-need-less-heads-with-ai.html" r:id="rId36"/>
    <hyperlink xmlns:r="http://schemas.openxmlformats.org/officeDocument/2006/relationships" ref="A50" display="Salesforce — Wipfli analysis of failure  —  https://www.wipfli.com/insights/articles/salesforce-failed-to-replace-thousands-of-workers-with-ai-what-can-your-business-learn" r:id="rId37"/>
    <hyperlink xmlns:r="http://schemas.openxmlformats.org/officeDocument/2006/relationships" ref="A51" display="Salesforce — The420.in support cut analysis  —  https://the420.in/salesforce-4000-layoffs-ai-overconfidence-exec-admission/" r:id="rId38"/>
    <hyperlink xmlns:r="http://schemas.openxmlformats.org/officeDocument/2006/relationships" ref="A52" display="Klarna — Entrepreneur rehiring  —  https://www.entrepreneur.com/business-news/klarna-ceo-reverses-course-by-hiring-more-humans-not-ai/491396" r:id="rId39"/>
    <hyperlink xmlns:r="http://schemas.openxmlformats.org/officeDocument/2006/relationships" ref="A53" display="Klarna — Futurism wants humans back  —  https://futurism.com/klarna-openai-humans-ai-back" r:id="rId40"/>
    <hyperlink xmlns:r="http://schemas.openxmlformats.org/officeDocument/2006/relationships" ref="A54" display="Klarna — FinTech Weekly reversal  —  https://www.fintechweekly.com/magazine/articles/klarna-hires-customer-service-after-ai-pivot" r:id="rId41"/>
    <hyperlink xmlns:r="http://schemas.openxmlformats.org/officeDocument/2006/relationships" ref="A55" display="IBM — Entrepreneur CEO HR replacement  —  https://www.entrepreneur.com/business-news/ibm-ceo-ai-replaced-hundreds-of-human-resources-staff/491341" r:id="rId42"/>
    <hyperlink xmlns:r="http://schemas.openxmlformats.org/officeDocument/2006/relationships" ref="A56" display="IBM — AIC total employment up  —  https://aicommission.org/2025/05/our-total-employment-has-gone-up-what-ibm-ceo-arvind-krishna-says-on-ai-replacing-several-hundred-jobs/" r:id="rId43"/>
    <hyperlink xmlns:r="http://schemas.openxmlformats.org/officeDocument/2006/relationships" ref="A57" display="Duolingo — Fortune AI memo walked back  —  https://fortune.com/2025/08/18/duolingo-ceo-admits-controversial-ai-memo-did-not-give-enough-context-insists-company-never-laid-off-full-time-employees/" r:id="rId44"/>
    <hyperlink xmlns:r="http://schemas.openxmlformats.org/officeDocument/2006/relationships" ref="A58" display="Duolingo — CNBC no layoffs  —  https://www.cnbc.com/2025/09/17/duolingo-ceo-how-ai-makes-my-employees-more-productive-without-layoffs.html" r:id="rId45"/>
    <hyperlink xmlns:r="http://schemas.openxmlformats.org/officeDocument/2006/relationships" ref="A59" display="Choi &amp; Schwarcz — AI in legal analysis (SSRN)  —  https://papers.ssrn.com/sol3/papers.cfm?abstract_id=4539836" r:id="rId46"/>
    <hyperlink xmlns:r="http://schemas.openxmlformats.org/officeDocument/2006/relationships" ref="A60" display="Choi et al. — Lawyering in the Age of AI  —  https://ssrn.com/abstract=4626276" r:id="rId47"/>
    <hyperlink xmlns:r="http://schemas.openxmlformats.org/officeDocument/2006/relationships" ref="A61" display="Choi et al. — ChatGPT goes to law school  —  https://papers.ssrn.com/sol3/papers.cfm?abstract_id=4335905" r:id="rId48"/>
    <hyperlink xmlns:r="http://schemas.openxmlformats.org/officeDocument/2006/relationships" ref="A62" display="JPMorgan COIN — ABA Journal  —  https://www.abajournal.com/news/article/jpmorgan_chase_uses_tech_to_save_360000_hours_of_annual_work_by_lawyers_and" r:id="rId49"/>
    <hyperlink xmlns:r="http://schemas.openxmlformats.org/officeDocument/2006/relationships" ref="A63" display="AMA — AI scribes save 15,000 hours  —  https://www.ama-assn.org/practice-management/digital-health/ai-scribes-save-15000-hours-and-restore-human-side-medicine" r:id="rId50"/>
    <hyperlink xmlns:r="http://schemas.openxmlformats.org/officeDocument/2006/relationships" ref="A64" display="JAMA Network Open — Ambient AI scribes  —  https://jamanetwork.com/journals/jamanetworkopen/fullarticle/2839542" r:id="rId51"/>
    <hyperlink xmlns:r="http://schemas.openxmlformats.org/officeDocument/2006/relationships" ref="A65" display="UCLA Health — AI scribes documentation  —  https://www.uclahealth.org/news/release/ucla-study-finds-ai-scribes-may-reduce-documentation-time" r:id="rId52"/>
    <hyperlink xmlns:r="http://schemas.openxmlformats.org/officeDocument/2006/relationships" ref="A66" display="STAT — large AI scribe study  —  https://www.statnews.com/2026/04/01/ai-ambient-scribes-modest-time-savings-clinical-documentation/" r:id="rId53"/>
    <hyperlink xmlns:r="http://schemas.openxmlformats.org/officeDocument/2006/relationships" ref="A67" display="Springer — AI + BIM construction methodologies  —  https://link.springer.com/article/10.1007/s43995-025-00193-2" r:id="rId54"/>
    <hyperlink xmlns:r="http://schemas.openxmlformats.org/officeDocument/2006/relationships" ref="A68" display="Autodesk — Top 2025 AI construction trends  —  https://www.autodesk.com/blogs/construction/top-2025-ai-construction-trends-according-to-the-experts/" r:id="rId55"/>
    <hyperlink xmlns:r="http://schemas.openxmlformats.org/officeDocument/2006/relationships" ref="A69" display="Khan Academy — building a better AI tutor  —  https://blog.khanacademy.org/how-khan-academy-is-building-a-better-ai-tutor-our-most-recent-learnings/" r:id="rId56"/>
    <hyperlink xmlns:r="http://schemas.openxmlformats.org/officeDocument/2006/relationships" ref="A70" display="J-PAL — Khanmigo evaluation project  —  https://www.povertyactionlab.org/initiative-project/ai-powered-tutoring-unleashing-full-potential-personalized-learning-khanmigo" r:id="rId57"/>
    <hyperlink xmlns:r="http://schemas.openxmlformats.org/officeDocument/2006/relationships" ref="A71" display="Deloitte — AI in federal government  —  https://www.deloitte.com/us/en/Industries/government-public/articles/ai-in-federal-government.html" r:id="rId58"/>
    <hyperlink xmlns:r="http://schemas.openxmlformats.org/officeDocument/2006/relationships" ref="A72" display="Deloitte — Scaling AI for government  —  https://www.deloitte.com/us/en/insights/industry/government-public-sector-services/government-trends/2025/scaling-ai-in-government.html" r:id="rId59"/>
    <hyperlink xmlns:r="http://schemas.openxmlformats.org/officeDocument/2006/relationships" ref="A73" display="Bain — AI in sales productivity 2025  —  https://www.bain.com/insights/ai-transforming-productivity-sales-remains-new-frontier-technology-report-2025/" r:id="rId60"/>
    <hyperlink xmlns:r="http://schemas.openxmlformats.org/officeDocument/2006/relationships" ref="A74" display="Bessemer — AI pricing playbook  —  https://www.bvp.com/atlas/the-ai-pricing-and-monetization-playbook" r:id="rId61"/>
    <hyperlink xmlns:r="http://schemas.openxmlformats.org/officeDocument/2006/relationships" ref="A75" display="Statista — AI in productivity &amp; labor  —  https://www.statista.com/topics/11516/artificial-intelligence-ai-in-labor-and-productivity/" r:id="rId62"/>
    <hyperlink xmlns:r="http://schemas.openxmlformats.org/officeDocument/2006/relationships" ref="A76" display="Gartner — CFOs should reset expectations  —  https://www.gartner.com/en/newsroom/press-releases/2025-03-25-gartner-says-cfos-should-reset-expectations-about-ais-impact-on-workforce-productivity-and-headcount" r:id="rId63"/>
    <hyperlink xmlns:r="http://schemas.openxmlformats.org/officeDocument/2006/relationships" ref="A77" display="Suprmind — AI hallucination rates 2026  —  https://suprmind.ai/hub/ai-hallucination-rates-and-benchmarks/" r:id="rId64"/>
    <hyperlink xmlns:r="http://schemas.openxmlformats.org/officeDocument/2006/relationships" ref="A78" display="Hacker News — Salesforce regrets thread  —  https://news.ycombinator.com/item?id=46384781" r:id="rId6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4.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69" min="1" max="1"/>
    <col width="16" customWidth="1" style="69" min="2" max="8"/>
  </cols>
  <sheetData>
    <row r="1" ht="30" customHeight="1" s="70">
      <c r="A1" s="78" t="inlineStr">
        <is>
          <t>V01  |  Value created vs captured vs retained — vendors that price seat-based capture &lt;10% of created value; outcome-based capture 30–50%</t>
        </is>
      </c>
    </row>
    <row r="2" ht="21.75" customHeight="1" s="70">
      <c r="A2" s="84" t="inlineStr">
        <is>
          <t>How is AI value split between vendor and customer, by pricing model?</t>
        </is>
      </c>
    </row>
    <row r="4" ht="23.25" customHeight="1" s="70">
      <c r="A4" s="79" t="inlineStr">
        <is>
          <t>Pricing model</t>
        </is>
      </c>
      <c r="B4" s="79" t="inlineStr">
        <is>
          <t>Vendor capture share (typical)</t>
        </is>
      </c>
      <c r="C4" s="79" t="inlineStr">
        <is>
          <t>Customer retention share</t>
        </is>
      </c>
      <c r="D4" s="79" t="inlineStr">
        <is>
          <t>Example</t>
        </is>
      </c>
      <c r="E4" s="79" t="inlineStr">
        <is>
          <t>Notes</t>
        </is>
      </c>
    </row>
    <row r="5" ht="57" customHeight="1" s="70">
      <c r="A5" s="86" t="inlineStr">
        <is>
          <t>Per-seat SaaS (status quo)</t>
        </is>
      </c>
      <c r="B5" s="87" t="inlineStr">
        <is>
          <t>5–10% of created value</t>
        </is>
      </c>
      <c r="C5" s="87" t="inlineStr">
        <is>
          <t>90–95%</t>
        </is>
      </c>
      <c r="D5" s="87" t="inlineStr">
        <is>
          <t>Microsoft 365 Copilot $30/seat/mo</t>
        </is>
      </c>
      <c r="E5" s="87" t="inlineStr">
        <is>
          <t>Capture independent of value; safe but leaves money on table</t>
        </is>
      </c>
    </row>
    <row r="6" ht="45.75" customHeight="1" s="70">
      <c r="A6" s="88" t="inlineStr">
        <is>
          <t>Usage / token-based</t>
        </is>
      </c>
      <c r="B6" s="89" t="inlineStr">
        <is>
          <t>10–25%</t>
        </is>
      </c>
      <c r="C6" s="89" t="inlineStr">
        <is>
          <t>75–90%</t>
        </is>
      </c>
      <c r="D6" s="89" t="inlineStr">
        <is>
          <t>OpenAI API, Anthropic API</t>
        </is>
      </c>
      <c r="E6" s="89" t="inlineStr">
        <is>
          <t>Capture scales with use; predictable for vendor</t>
        </is>
      </c>
    </row>
    <row r="7" ht="34.5" customHeight="1" s="70">
      <c r="A7" s="86" t="inlineStr">
        <is>
          <t>Credit / effort-based</t>
        </is>
      </c>
      <c r="B7" s="87" t="inlineStr">
        <is>
          <t>20–35%</t>
        </is>
      </c>
      <c r="C7" s="87" t="inlineStr">
        <is>
          <t>65–80%</t>
        </is>
      </c>
      <c r="D7" s="87" t="inlineStr">
        <is>
          <t>Lovable, Replit effort pricing, Devin ACU</t>
        </is>
      </c>
      <c r="E7" s="87" t="inlineStr">
        <is>
          <t>Captures more value on heavy tasks</t>
        </is>
      </c>
    </row>
    <row r="8" ht="23.25" customHeight="1" s="70">
      <c r="A8" s="88" t="inlineStr">
        <is>
          <t>Outcome-based (per resolution / per task)</t>
        </is>
      </c>
      <c r="B8" s="89" t="inlineStr">
        <is>
          <t>30–50%</t>
        </is>
      </c>
      <c r="C8" s="89" t="inlineStr">
        <is>
          <t>50–70%</t>
        </is>
      </c>
      <c r="D8" s="89" t="inlineStr">
        <is>
          <t>Intercom Fin ($0.99/resolution)</t>
        </is>
      </c>
      <c r="E8" s="89" t="inlineStr">
        <is>
          <t>Capture aligns with delivered value</t>
        </is>
      </c>
    </row>
    <row r="9" ht="34.5" customHeight="1" s="70">
      <c r="A9" s="86" t="inlineStr">
        <is>
          <t>Gainsharing (% of measured savings)</t>
        </is>
      </c>
      <c r="B9" s="87" t="inlineStr">
        <is>
          <t>20–40%</t>
        </is>
      </c>
      <c r="C9" s="87" t="inlineStr">
        <is>
          <t>60–80%</t>
        </is>
      </c>
      <c r="D9" s="87" t="inlineStr">
        <is>
          <t>Performance bands in BPO/services</t>
        </is>
      </c>
      <c r="E9" s="87" t="inlineStr">
        <is>
          <t>High capture; requires attribution</t>
        </is>
      </c>
    </row>
    <row r="10" ht="34.5" customHeight="1" s="70">
      <c r="A10" s="88" t="inlineStr">
        <is>
          <t>Hybrid (base + outcome)</t>
        </is>
      </c>
      <c r="B10" s="89" t="inlineStr">
        <is>
          <t>25–40%</t>
        </is>
      </c>
      <c r="C10" s="89" t="inlineStr">
        <is>
          <t>60–75%</t>
        </is>
      </c>
      <c r="D10" s="89" t="inlineStr">
        <is>
          <t>31% of AI vendors (Bessemer/Monetizely)</t>
        </is>
      </c>
      <c r="E10" s="89" t="inlineStr">
        <is>
          <t>Best of both; reduces volatility</t>
        </is>
      </c>
    </row>
    <row r="12" ht="15" customHeight="1" s="70">
      <c r="A12" s="85" t="inlineStr">
        <is>
          <t>Chart data — vendor capture share by pricing model (midpoint, %)</t>
        </is>
      </c>
    </row>
    <row r="13" ht="15" customHeight="1" s="70">
      <c r="A13" s="79" t="inlineStr">
        <is>
          <t>Pricing model</t>
        </is>
      </c>
      <c r="B13" s="79" t="inlineStr">
        <is>
          <t>Vendor capture %</t>
        </is>
      </c>
    </row>
    <row r="14" ht="15" customHeight="1" s="70">
      <c r="A14" s="86" t="inlineStr">
        <is>
          <t>Per-seat SaaS</t>
        </is>
      </c>
      <c r="B14" s="87" t="n">
        <v>7.5</v>
      </c>
    </row>
    <row r="15" ht="15" customHeight="1" s="70">
      <c r="A15" s="88" t="inlineStr">
        <is>
          <t>Usage / token</t>
        </is>
      </c>
      <c r="B15" s="89" t="n">
        <v>17.5</v>
      </c>
    </row>
    <row r="16" ht="15" customHeight="1" s="70">
      <c r="A16" s="86" t="inlineStr">
        <is>
          <t>Credit / effort</t>
        </is>
      </c>
      <c r="B16" s="87" t="n">
        <v>27.5</v>
      </c>
    </row>
    <row r="17" ht="15" customHeight="1" s="70">
      <c r="A17" s="88" t="inlineStr">
        <is>
          <t>Outcome-based</t>
        </is>
      </c>
      <c r="B17" s="89" t="n">
        <v>40</v>
      </c>
    </row>
    <row r="18" ht="15" customHeight="1" s="70">
      <c r="A18" s="86" t="inlineStr">
        <is>
          <t>Gainsharing</t>
        </is>
      </c>
      <c r="B18" s="87" t="n">
        <v>30</v>
      </c>
    </row>
    <row r="19" ht="15" customHeight="1" s="70">
      <c r="A19" s="88" t="inlineStr">
        <is>
          <t>Hybrid</t>
        </is>
      </c>
      <c r="B19" s="89" t="n">
        <v>32.5</v>
      </c>
    </row>
    <row r="20" ht="60" customHeight="1" s="70">
      <c r="A20" s="90" t="inlineStr">
        <is>
          <t>Insight  |  Three layers to distinguish: (1) value created by AI (productivity uplift × labour cost), (2) value captured by vendor (price paid), (3) value retained by customer (created − captured − switching cost). Per-seat pricing leaves 90%+ to customer — safe but flat. Outcome-based and gainsharing pull capture to 30–50% but require clean attribution. Bessemer reports 31% of AI vendors are already on hybrid.</t>
        </is>
      </c>
    </row>
    <row r="21" ht="30" customHeight="1" s="70">
      <c r="A21" s="77" t="inlineStr">
        <is>
          <t>Source  |  Bessemer — AI pricing &amp; monetization playbook  —  https://www.bvp.com/atlas/the-ai-pricing-and-monetization-playbook</t>
        </is>
      </c>
    </row>
    <row r="22" ht="30" customHeight="1" s="70">
      <c r="A22" s="77" t="inlineStr">
        <is>
          <t>Source  |  Monetizely — 2026 Guide to SaaS/AI/Agentic pricing  —  https://www.getmonetizely.com/blogs/the-2026-guide-to-saas-ai-and-agentic-pricing-models</t>
        </is>
      </c>
    </row>
    <row r="23" ht="30" customHeight="1" s="70">
      <c r="A23" s="77" t="inlineStr">
        <is>
          <t>Source  |  Data-Mania — AI pricing models explained  —  https://www.data-mania.com/blog/ai-pricing-models-explained-usage-seats-credits-outcome-based-options/</t>
        </is>
      </c>
    </row>
    <row r="24" ht="30" customHeight="1" s="70">
      <c r="A24" s="77" t="inlineStr">
        <is>
          <t>Source  |  Valueships — AI pricing 8 SaaS trends 2025  —  https://www.valueships.com/post/ai-pricing-8-biggest-saas-trends-in-2025</t>
        </is>
      </c>
    </row>
  </sheetData>
  <mergeCells count="7">
    <mergeCell ref="A21:H21"/>
    <mergeCell ref="A20:H20"/>
    <mergeCell ref="A24:H24"/>
    <mergeCell ref="A2:H2"/>
    <mergeCell ref="A1:H1"/>
    <mergeCell ref="A23:H23"/>
    <mergeCell ref="A22:H22"/>
  </mergeCells>
  <hyperlinks>
    <hyperlink xmlns:r="http://schemas.openxmlformats.org/officeDocument/2006/relationships" ref="A21" display="Source  |  Bessemer — AI pricing &amp; monetization playbook  —  https://www.bvp.com/atlas/the-ai-pricing-and-monetization-playbook" r:id="rId1"/>
    <hyperlink xmlns:r="http://schemas.openxmlformats.org/officeDocument/2006/relationships" ref="A22" display="Source  |  Monetizely — 2026 Guide to SaaS/AI/Agentic pricing  —  https://www.getmonetizely.com/blogs/the-2026-guide-to-saas-ai-and-agentic-pricing-models" r:id="rId2"/>
    <hyperlink xmlns:r="http://schemas.openxmlformats.org/officeDocument/2006/relationships" ref="A23" display="Source  |  Data-Mania — AI pricing models explained  —  https://www.data-mania.com/blog/ai-pricing-models-explained-usage-seats-credits-outcome-based-options/" r:id="rId3"/>
    <hyperlink xmlns:r="http://schemas.openxmlformats.org/officeDocument/2006/relationships" ref="A24" display="Source  |  Valueships — AI pricing 8 SaaS trends 2025  —  https://www.valueships.com/post/ai-pricing-8-biggest-saas-trends-in-2025" r:id="rId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5"/>
</worksheet>
</file>

<file path=xl/worksheets/sheet55.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69" min="1" max="1"/>
    <col width="16" customWidth="1" style="69" min="2" max="8"/>
  </cols>
  <sheetData>
    <row r="1" ht="30" customHeight="1" s="70">
      <c r="A1" s="78" t="inlineStr">
        <is>
          <t>V02  |  The 10x pricing test — 10x prices are defensible only on 5 narrow conditions; 20–40% uplift requires fundamentally different pricing logic</t>
        </is>
      </c>
    </row>
    <row r="2" ht="21.75" customHeight="1" s="70">
      <c r="A2" s="84" t="inlineStr">
        <is>
          <t>When can a vendor charge 10x for AI? When can they not?</t>
        </is>
      </c>
    </row>
    <row r="4" ht="23.25" customHeight="1" s="70">
      <c r="A4" s="79" t="inlineStr">
        <is>
          <t>Condition for 10x pricing</t>
        </is>
      </c>
      <c r="B4" s="79" t="inlineStr">
        <is>
          <t>Evidence / example</t>
        </is>
      </c>
      <c r="C4" s="79" t="inlineStr">
        <is>
          <t>Defensibility</t>
        </is>
      </c>
      <c r="D4" s="79" t="inlineStr">
        <is>
          <t>When it fails</t>
        </is>
      </c>
    </row>
    <row r="5" ht="34.5" customHeight="1" s="70">
      <c r="A5" s="86" t="inlineStr">
        <is>
          <t>Scarce specialist labour replacement</t>
        </is>
      </c>
      <c r="B5" s="87" t="inlineStr">
        <is>
          <t>Senior radiologist, legal partner, ML scientist</t>
        </is>
      </c>
      <c r="C5" s="118" t="inlineStr">
        <is>
          <t>HIGH</t>
        </is>
      </c>
      <c r="D5" s="87" t="inlineStr">
        <is>
          <t>When AI can't reach senior quality</t>
        </is>
      </c>
    </row>
    <row r="6" ht="34.5" customHeight="1" s="70">
      <c r="A6" s="88" t="inlineStr">
        <is>
          <t>Revenue-generating outcome</t>
        </is>
      </c>
      <c r="B6" s="89" t="inlineStr">
        <is>
          <t>Lead conversion, ad performance, fraud caught</t>
        </is>
      </c>
      <c r="C6" s="118" t="inlineStr">
        <is>
          <t>HIGH (if attribution is clean)</t>
        </is>
      </c>
      <c r="D6" s="89" t="inlineStr">
        <is>
          <t>When outcome is multi-driver</t>
        </is>
      </c>
    </row>
    <row r="7" ht="34.5" customHeight="1" s="70">
      <c r="A7" s="86" t="inlineStr">
        <is>
          <t>Bottleneck / capacity unlock</t>
        </is>
      </c>
      <c r="B7" s="87" t="inlineStr">
        <is>
          <t>Drug discovery cycle, M&amp;A diligence speed</t>
        </is>
      </c>
      <c r="C7" s="118" t="inlineStr">
        <is>
          <t>HIGH (compresses TTM)</t>
        </is>
      </c>
      <c r="D7" s="87" t="inlineStr">
        <is>
          <t>When buyer can wait</t>
        </is>
      </c>
    </row>
    <row r="8" ht="23.25" customHeight="1" s="70">
      <c r="A8" s="88" t="inlineStr">
        <is>
          <t>Regulated workflow with liability</t>
        </is>
      </c>
      <c r="B8" s="89" t="inlineStr">
        <is>
          <t>AML compliance, KYC, SOX testing</t>
        </is>
      </c>
      <c r="C8" s="118" t="inlineStr">
        <is>
          <t>HIGH (insurer-style premium)</t>
        </is>
      </c>
      <c r="D8" s="89" t="inlineStr">
        <is>
          <t>When AI introduces new risk</t>
        </is>
      </c>
    </row>
    <row r="9" ht="23.25" customHeight="1" s="70">
      <c r="A9" s="86" t="inlineStr">
        <is>
          <t>Mission-critical reliability with HITL</t>
        </is>
      </c>
      <c r="B9" s="87" t="inlineStr">
        <is>
          <t>Healthcare scribe + physician review</t>
        </is>
      </c>
      <c r="C9" s="117" t="inlineStr">
        <is>
          <t>MEDIUM-HIGH</t>
        </is>
      </c>
      <c r="D9" s="87" t="inlineStr">
        <is>
          <t>When HITL erases time savings</t>
        </is>
      </c>
    </row>
    <row r="10" ht="34.5" customHeight="1" s="70">
      <c r="A10" s="88" t="inlineStr">
        <is>
          <t>Knowledge worker productivity (generic)</t>
        </is>
      </c>
      <c r="B10" s="89" t="inlineStr">
        <is>
          <t>Writing, research, summary — Noy/Zhang</t>
        </is>
      </c>
      <c r="C10" s="116" t="inlineStr">
        <is>
          <t>LOW</t>
        </is>
      </c>
      <c r="D10" s="89" t="inlineStr">
        <is>
          <t>20–40% uplift ≠ 10x pricing</t>
        </is>
      </c>
    </row>
    <row r="11" ht="23.25" customHeight="1" s="70">
      <c r="A11" s="86" t="inlineStr">
        <is>
          <t>Customer support volume</t>
        </is>
      </c>
      <c r="B11" s="87" t="inlineStr">
        <is>
          <t>Tier-1 routine queries</t>
        </is>
      </c>
      <c r="C11" s="116" t="inlineStr">
        <is>
          <t>LOW</t>
        </is>
      </c>
      <c r="D11" s="87" t="inlineStr">
        <is>
          <t>Salesforce/Klarna reversals</t>
        </is>
      </c>
    </row>
    <row r="12" ht="23.25" customHeight="1" s="70">
      <c r="A12" s="88" t="inlineStr">
        <is>
          <t>Generic per-seat AI assistant</t>
        </is>
      </c>
      <c r="B12" s="89" t="inlineStr">
        <is>
          <t>MS Copilot, generic Copilots</t>
        </is>
      </c>
      <c r="C12" s="116" t="inlineStr">
        <is>
          <t>LOW</t>
        </is>
      </c>
      <c r="D12" s="89" t="inlineStr">
        <is>
          <t>Marginal not transformational</t>
        </is>
      </c>
    </row>
    <row r="14" ht="15" customHeight="1" s="70">
      <c r="A14" s="85" t="inlineStr">
        <is>
          <t>Chart data — what AI uplift (%) justifies what pricing posture</t>
        </is>
      </c>
    </row>
    <row r="15" ht="15" customHeight="1" s="70">
      <c r="A15" s="79" t="inlineStr">
        <is>
          <t>Uplift band</t>
        </is>
      </c>
      <c r="B15" s="79" t="inlineStr">
        <is>
          <t>Mid-band uplift %</t>
        </is>
      </c>
    </row>
    <row r="16" ht="15" customHeight="1" s="70">
      <c r="A16" s="86" t="inlineStr">
        <is>
          <t>Marginal (5–15%)</t>
        </is>
      </c>
      <c r="B16" s="87" t="n">
        <v>15</v>
      </c>
    </row>
    <row r="17" ht="15" customHeight="1" s="70">
      <c r="A17" s="88" t="inlineStr">
        <is>
          <t>Material (20–40%)</t>
        </is>
      </c>
      <c r="B17" s="89" t="n">
        <v>35</v>
      </c>
    </row>
    <row r="18" ht="15" customHeight="1" s="70">
      <c r="A18" s="86" t="inlineStr">
        <is>
          <t>Substantial (50–100%)</t>
        </is>
      </c>
      <c r="B18" s="87" t="n">
        <v>80</v>
      </c>
    </row>
    <row r="19" ht="15" customHeight="1" s="70">
      <c r="A19" s="88" t="inlineStr">
        <is>
          <t>Transformational (200%+, lighthouses)</t>
        </is>
      </c>
      <c r="B19" s="89" t="n">
        <v>250</v>
      </c>
    </row>
    <row r="20" ht="15" customHeight="1" s="70">
      <c r="A20" s="86" t="inlineStr">
        <is>
          <t>10x (manufacturing lighthouses, narrow)</t>
        </is>
      </c>
      <c r="B20" s="87" t="n">
        <v>1000</v>
      </c>
    </row>
    <row r="21" ht="60" customHeight="1" s="70">
      <c r="A21" s="90" t="inlineStr">
        <is>
          <t>Insight  |  10x prices require 10x value AND clean attribution AND switching pain. Evidence supports this only in (a) manufacturing lighthouses on narrow processes, (b) scarce specialist labour replacement, (c) revenue-generating outcomes with attribution, (d) regulated/compliance work, (e) bottleneck compression. For everything else — 95% of knowledge work — defensible pricing follows the 20–40% uplift evidence and moves to usage/outcome/hybrid models.</t>
        </is>
      </c>
    </row>
    <row r="22" ht="30" customHeight="1" s="70">
      <c r="A22" s="77" t="inlineStr">
        <is>
          <t>Source  |  L.E.K. — How AI is changing SaaS pricing  —  https://www.lek.com/insights/tmt/global/ar/how-ai-changing-saas-pricing</t>
        </is>
      </c>
    </row>
    <row r="23" ht="30" customHeight="1" s="70">
      <c r="A23" s="77" t="inlineStr">
        <is>
          <t>Source  |  Bessemer — AI pricing playbook  —  https://www.bvp.com/atlas/the-ai-pricing-and-monetization-playbook</t>
        </is>
      </c>
    </row>
    <row r="24" ht="30" customHeight="1" s="70">
      <c r="A24" s="77" t="inlineStr">
        <is>
          <t>Source  |  RSM US — SaaS pricing models must adjust  —  https://rsmus.com/insights/industries/technology-companies/saas-vendors-pricing-models-ai.html</t>
        </is>
      </c>
    </row>
  </sheetData>
  <mergeCells count="6">
    <mergeCell ref="A21:H21"/>
    <mergeCell ref="A24:H24"/>
    <mergeCell ref="A2:H2"/>
    <mergeCell ref="A1:H1"/>
    <mergeCell ref="A23:H23"/>
    <mergeCell ref="A22:H22"/>
  </mergeCells>
  <hyperlinks>
    <hyperlink xmlns:r="http://schemas.openxmlformats.org/officeDocument/2006/relationships" ref="A22" display="Source  |  L.E.K. — How AI is changing SaaS pricing  —  https://www.lek.com/insights/tmt/global/ar/how-ai-changing-saas-pricing" r:id="rId1"/>
    <hyperlink xmlns:r="http://schemas.openxmlformats.org/officeDocument/2006/relationships" ref="A23" display="Source  |  Bessemer — AI pricing playbook  —  https://www.bvp.com/atlas/the-ai-pricing-and-monetization-playbook" r:id="rId2"/>
    <hyperlink xmlns:r="http://schemas.openxmlformats.org/officeDocument/2006/relationships" ref="A24" display="Source  |  RSM US — SaaS pricing models must adjust  —  https://rsmus.com/insights/industries/technology-companies/saas-vendors-pricing-models-ai.html"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4"/>
</worksheet>
</file>

<file path=xl/worksheets/sheet56.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69" min="1" max="1"/>
    <col width="16" customWidth="1" style="69" min="2" max="8"/>
  </cols>
  <sheetData>
    <row r="1" ht="30" customHeight="1" s="70">
      <c r="A1" s="78" t="inlineStr">
        <is>
          <t>V03  |  Pricing model decision matrix — pick the model that matches the value evidence, not the vendor's preference</t>
        </is>
      </c>
    </row>
    <row r="2" ht="21.75" customHeight="1" s="70">
      <c r="A2" s="84" t="inlineStr">
        <is>
          <t>Given the realised uplift band and task type, which pricing model should we use?</t>
        </is>
      </c>
    </row>
    <row r="4" ht="23.25" customHeight="1" s="70">
      <c r="A4" s="79" t="inlineStr">
        <is>
          <t>Trigger condition</t>
        </is>
      </c>
      <c r="B4" s="79" t="inlineStr">
        <is>
          <t>Primary model</t>
        </is>
      </c>
      <c r="C4" s="79" t="inlineStr">
        <is>
          <t>Secondary / hybrid</t>
        </is>
      </c>
      <c r="D4" s="79" t="inlineStr">
        <is>
          <t>Avoid</t>
        </is>
      </c>
      <c r="E4" s="79" t="inlineStr">
        <is>
          <t>Example</t>
        </is>
      </c>
    </row>
    <row r="5" ht="23.25" customHeight="1" s="70">
      <c r="A5" s="86" t="inlineStr">
        <is>
          <t>Routine task, low-skill, AI-fit (CS tier-1, writing)</t>
        </is>
      </c>
      <c r="B5" s="87" t="inlineStr">
        <is>
          <t>Outcome-based per resolution</t>
        </is>
      </c>
      <c r="C5" s="87" t="inlineStr">
        <is>
          <t>Hybrid base + outcome</t>
        </is>
      </c>
      <c r="D5" s="87" t="inlineStr">
        <is>
          <t>Per-seat (leaves $ on table)</t>
        </is>
      </c>
      <c r="E5" s="87" t="inlineStr">
        <is>
          <t>Intercom Fin $0.99/resolution</t>
        </is>
      </c>
    </row>
    <row r="6" ht="23.25" customHeight="1" s="70">
      <c r="A6" s="88" t="inlineStr">
        <is>
          <t>Mixed routine + complex (sales, marketing ops)</t>
        </is>
      </c>
      <c r="B6" s="89" t="inlineStr">
        <is>
          <t>Hybrid: base + usage</t>
        </is>
      </c>
      <c r="C6" s="89" t="inlineStr">
        <is>
          <t>Tiered seats with outcome bonus</t>
        </is>
      </c>
      <c r="D6" s="89" t="inlineStr">
        <is>
          <t>Pure outcome (attribution fails)</t>
        </is>
      </c>
      <c r="E6" s="89" t="inlineStr">
        <is>
          <t>HubSpot tiered + AI add-on</t>
        </is>
      </c>
    </row>
    <row r="7" ht="23.25" customHeight="1" s="70">
      <c r="A7" s="86" t="inlineStr">
        <is>
          <t>High variance task complexity (coding agents)</t>
        </is>
      </c>
      <c r="B7" s="87" t="inlineStr">
        <is>
          <t>Effort / credit-based</t>
        </is>
      </c>
      <c r="C7" s="87" t="inlineStr">
        <is>
          <t>Hybrid base + credits</t>
        </is>
      </c>
      <c r="D7" s="87" t="inlineStr">
        <is>
          <t>Per-token (race to bottom)</t>
        </is>
      </c>
      <c r="E7" s="87" t="inlineStr">
        <is>
          <t>Cursor, Devin, Replit, Lovable</t>
        </is>
      </c>
    </row>
    <row r="8" ht="23.25" customHeight="1" s="70">
      <c r="A8" s="88" t="inlineStr">
        <is>
          <t>Specialist labour replacement (legal doc review)</t>
        </is>
      </c>
      <c r="B8" s="89" t="inlineStr">
        <is>
          <t>Gainsharing or % of cost saved</t>
        </is>
      </c>
      <c r="C8" s="89" t="inlineStr">
        <is>
          <t>Per task with cap</t>
        </is>
      </c>
      <c r="D8" s="89" t="inlineStr">
        <is>
          <t>Per-seat (under-prices)</t>
        </is>
      </c>
      <c r="E8" s="89" t="inlineStr">
        <is>
          <t>JPMorgan COIN-style internal</t>
        </is>
      </c>
    </row>
    <row r="9" ht="23.25" customHeight="1" s="70">
      <c r="A9" s="86" t="inlineStr">
        <is>
          <t>Regulated / compliance workflows</t>
        </is>
      </c>
      <c r="B9" s="87" t="inlineStr">
        <is>
          <t>Premium per-task + liability bundle</t>
        </is>
      </c>
      <c r="C9" s="87" t="inlineStr">
        <is>
          <t>Subscription with SLA</t>
        </is>
      </c>
      <c r="D9" s="87" t="inlineStr">
        <is>
          <t>Pure usage (no risk premium)</t>
        </is>
      </c>
      <c r="E9" s="87" t="inlineStr">
        <is>
          <t>AML/KYC automation</t>
        </is>
      </c>
    </row>
    <row r="10" ht="34.5" customHeight="1" s="70">
      <c r="A10" s="88" t="inlineStr">
        <is>
          <t>Manufacturing / industrial AI</t>
        </is>
      </c>
      <c r="B10" s="89" t="inlineStr">
        <is>
          <t>Value share of yield/cost improvement</t>
        </is>
      </c>
      <c r="C10" s="89" t="inlineStr">
        <is>
          <t>Subscription + outcome bonus</t>
        </is>
      </c>
      <c r="D10" s="89" t="inlineStr">
        <is>
          <t>Per-seat (irrelevant)</t>
        </is>
      </c>
      <c r="E10" s="89" t="inlineStr">
        <is>
          <t>Lighthouse partnerships</t>
        </is>
      </c>
    </row>
    <row r="11" ht="34.5" customHeight="1" s="70">
      <c r="A11" s="86" t="inlineStr">
        <is>
          <t>Generic productivity assistant</t>
        </is>
      </c>
      <c r="B11" s="87" t="inlineStr">
        <is>
          <t>Per-seat (sticky)</t>
        </is>
      </c>
      <c r="C11" s="87" t="inlineStr">
        <is>
          <t>Per-seat + usage cap</t>
        </is>
      </c>
      <c r="D11" s="87" t="inlineStr">
        <is>
          <t>Outcome (attribution unclear)</t>
        </is>
      </c>
      <c r="E11" s="87" t="inlineStr">
        <is>
          <t>Microsoft 365 Copilot</t>
        </is>
      </c>
    </row>
    <row r="12" ht="23.25" customHeight="1" s="70">
      <c r="A12" s="88" t="inlineStr">
        <is>
          <t>New customer (low data on outcomes)</t>
        </is>
      </c>
      <c r="B12" s="89" t="inlineStr">
        <is>
          <t>Per-seat to start</t>
        </is>
      </c>
      <c r="C12" s="89" t="inlineStr">
        <is>
          <t>Migrate to hybrid over 12 months</t>
        </is>
      </c>
      <c r="D12" s="89" t="inlineStr">
        <is>
          <t>Outcome (no baseline yet)</t>
        </is>
      </c>
      <c r="E12" s="89" t="inlineStr">
        <is>
          <t>Land-and-expand</t>
        </is>
      </c>
    </row>
    <row r="14" ht="60" customHeight="1" s="70">
      <c r="A14" s="90" t="inlineStr">
        <is>
          <t>Insight  |  MECE rules for picking a model: (1) where outcomes are clean and attributable → outcome-based. (2) where work is variable in effort → credit/effort. (3) where AI saves labour cost on a known process → gainsharing. (4) where productivity gain is broad but diffuse → seat-based, add usage cap. (5) when in doubt with a new customer → seat-based with migration path to hybrid in year 2.</t>
        </is>
      </c>
    </row>
    <row r="15" ht="30" customHeight="1" s="70">
      <c r="A15" s="77" t="inlineStr">
        <is>
          <t>Source  |  Monetizely — 2026 Guide to SaaS/AI/Agentic pricing  —  https://www.getmonetizely.com/blogs/the-2026-guide-to-saas-ai-and-agentic-pricing-models</t>
        </is>
      </c>
    </row>
    <row r="16" ht="30" customHeight="1" s="70">
      <c r="A16" s="77" t="inlineStr">
        <is>
          <t>Source  |  Intercom Fin — outcome pricing scale  —  https://gtmnow.com/how-intercom-built-the-highest-performing-ai-agent-on-the-market-using-outcome-based-pricing-with-archana-agrawal-president-at-intercom/</t>
        </is>
      </c>
    </row>
    <row r="17" ht="30" customHeight="1" s="70">
      <c r="A17" s="77" t="inlineStr">
        <is>
          <t>Source  |  Cosine — pay-per-token won't last  —  https://cosine.sh/blog/ai-coding-agent-pricing-task-vs-token</t>
        </is>
      </c>
    </row>
  </sheetData>
  <mergeCells count="6">
    <mergeCell ref="A15:H15"/>
    <mergeCell ref="A2:H2"/>
    <mergeCell ref="A16:H16"/>
    <mergeCell ref="A14:H14"/>
    <mergeCell ref="A1:H1"/>
    <mergeCell ref="A17:H17"/>
  </mergeCells>
  <hyperlinks>
    <hyperlink xmlns:r="http://schemas.openxmlformats.org/officeDocument/2006/relationships" ref="A15" display="Source  |  Monetizely — 2026 Guide to SaaS/AI/Agentic pricing  —  https://www.getmonetizely.com/blogs/the-2026-guide-to-saas-ai-and-agentic-pricing-models" r:id="rId1"/>
    <hyperlink xmlns:r="http://schemas.openxmlformats.org/officeDocument/2006/relationships" ref="A16" display="Source  |  Intercom Fin — outcome pricing scale  —  https://gtmnow.com/how-intercom-built-the-highest-performing-ai-agent-on-the-market-using-outcome-based-pricing-with-archana-agrawal-president-at-intercom/" r:id="rId2"/>
    <hyperlink xmlns:r="http://schemas.openxmlformats.org/officeDocument/2006/relationships" ref="A17" display="Source  |  Cosine — pay-per-token won't last  —  https://cosine.sh/blog/ai-coding-agent-pricing-task-vs-token"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7.xml><?xml version="1.0" encoding="utf-8"?>
<worksheet xmlns="http://schemas.openxmlformats.org/spreadsheetml/2006/main">
  <sheetPr filterMode="0">
    <outlinePr summaryBelow="1" summaryRight="1"/>
    <pageSetUpPr fitToPage="0"/>
  </sheetPr>
  <dimension ref="A1:H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69" min="1" max="1"/>
    <col width="16" customWidth="1" style="69" min="2" max="8"/>
  </cols>
  <sheetData>
    <row r="1" ht="30" customHeight="1" s="70">
      <c r="A1" s="78" t="inlineStr">
        <is>
          <t>V04  |  AI ROI calculation — only count realised uplift × fully-loaded cost × adoption %, minus reliability/HITL drag and integration tax</t>
        </is>
      </c>
    </row>
    <row r="2" ht="21.75" customHeight="1" s="70">
      <c r="A2" s="84" t="inlineStr">
        <is>
          <t>How to calculate AI ROI without overclaiming?</t>
        </is>
      </c>
    </row>
    <row r="4" ht="15" customHeight="1" s="70">
      <c r="A4" s="85" t="inlineStr">
        <is>
          <t>ROI formula (defensible)</t>
        </is>
      </c>
    </row>
    <row r="5" ht="34.5" customHeight="1" s="70">
      <c r="A5" s="92" t="inlineStr">
        <is>
          <t>Annual value captured = (productivity uplift % × hours saved × loaded $/hr × adoption %) − HITL drag − integration tax</t>
        </is>
      </c>
    </row>
    <row r="7" ht="34.5" customHeight="1" s="70">
      <c r="A7" s="79" t="inlineStr">
        <is>
          <t>Variable</t>
        </is>
      </c>
      <c r="B7" s="79" t="inlineStr">
        <is>
          <t>Source for benchmark</t>
        </is>
      </c>
      <c r="C7" s="79" t="inlineStr">
        <is>
          <t>Defensible value (mid-case)</t>
        </is>
      </c>
      <c r="D7" s="79" t="inlineStr">
        <is>
          <t>Aggressive value (avoid unless evidenced)</t>
        </is>
      </c>
    </row>
    <row r="8" ht="23.25" customHeight="1" s="70">
      <c r="A8" s="86" t="inlineStr">
        <is>
          <t>Productivity uplift %</t>
        </is>
      </c>
      <c r="B8" s="87" t="inlineStr">
        <is>
          <t>Studies in M01, S01–S12</t>
        </is>
      </c>
      <c r="C8" s="87" t="inlineStr">
        <is>
          <t>20–30% on AI-fit tasks</t>
        </is>
      </c>
      <c r="D8" s="87" t="inlineStr">
        <is>
          <t>55%+ (only with RCT evidence)</t>
        </is>
      </c>
    </row>
    <row r="9" ht="23.25" customHeight="1" s="70">
      <c r="A9" s="88" t="inlineStr">
        <is>
          <t>Hours saved / FTE / year</t>
        </is>
      </c>
      <c r="B9" s="89" t="inlineStr">
        <is>
          <t>MS WTI, BCG AI@Work</t>
        </is>
      </c>
      <c r="C9" s="89" t="inlineStr">
        <is>
          <t>150–300 hrs (3–6 hrs/week × 50)</t>
        </is>
      </c>
      <c r="D9" s="89" t="inlineStr">
        <is>
          <t>500+ hrs (only with audit)</t>
        </is>
      </c>
    </row>
    <row r="10" ht="34.5" customHeight="1" s="70">
      <c r="A10" s="86" t="inlineStr">
        <is>
          <t>Loaded $/hour</t>
        </is>
      </c>
      <c r="B10" s="87" t="inlineStr">
        <is>
          <t>Standard finance benchmark</t>
        </is>
      </c>
      <c r="C10" s="87" t="inlineStr">
        <is>
          <t>Salary × 1.4 (benefits/overhead)</t>
        </is>
      </c>
      <c r="D10" s="87" t="inlineStr">
        <is>
          <t>Salary × 2.0 (incl. opportunity cost)</t>
        </is>
      </c>
    </row>
    <row r="11" ht="23.25" customHeight="1" s="70">
      <c r="A11" s="88" t="inlineStr">
        <is>
          <t>Adoption % within target population</t>
        </is>
      </c>
      <c r="B11" s="89" t="inlineStr">
        <is>
          <t>Census BTOS / BCG AI@Work</t>
        </is>
      </c>
      <c r="C11" s="89" t="inlineStr">
        <is>
          <t>40–70% within 12 months</t>
        </is>
      </c>
      <c r="D11" s="89" t="inlineStr">
        <is>
          <t>90%+ (rare)</t>
        </is>
      </c>
    </row>
    <row r="12" ht="23.25" customHeight="1" s="70">
      <c r="A12" s="86" t="inlineStr">
        <is>
          <t>Reliability / HITL drag</t>
        </is>
      </c>
      <c r="B12" s="87" t="inlineStr">
        <is>
          <t>C05, hallucination data</t>
        </is>
      </c>
      <c r="C12" s="87" t="inlineStr">
        <is>
          <t>−10 to −25% of gross uplift</t>
        </is>
      </c>
      <c r="D12" s="87" t="inlineStr">
        <is>
          <t>0% (only if no human review)</t>
        </is>
      </c>
    </row>
    <row r="13" ht="23.25" customHeight="1" s="70">
      <c r="A13" s="88" t="inlineStr">
        <is>
          <t>Integration / governance tax</t>
        </is>
      </c>
      <c r="B13" s="89" t="inlineStr">
        <is>
          <t>MIT NANDA, Gartner</t>
        </is>
      </c>
      <c r="C13" s="89" t="inlineStr">
        <is>
          <t>−15 to −20% of gross uplift</t>
        </is>
      </c>
      <c r="D13" s="89" t="inlineStr">
        <is>
          <t>0% (almost never)</t>
        </is>
      </c>
    </row>
    <row r="14" ht="23.25" customHeight="1" s="70">
      <c r="A14" s="86" t="inlineStr">
        <is>
          <t>Net ROI multiple</t>
        </is>
      </c>
      <c r="B14" s="87" t="inlineStr">
        <is>
          <t>All-in calculation</t>
        </is>
      </c>
      <c r="C14" s="87" t="inlineStr">
        <is>
          <t>1.5–3x ARR in year 2</t>
        </is>
      </c>
      <c r="D14" s="87" t="inlineStr">
        <is>
          <t>10x in year 1 (only narrow cases)</t>
        </is>
      </c>
    </row>
    <row r="16" ht="15" customHeight="1" s="70">
      <c r="A16" s="85" t="inlineStr">
        <is>
          <t>Worked example — 200-person services firm, customer ops team of 30</t>
        </is>
      </c>
    </row>
    <row r="17" ht="15" customHeight="1" s="70">
      <c r="A17" s="79" t="inlineStr">
        <is>
          <t>Variable</t>
        </is>
      </c>
      <c r="B17" s="79" t="inlineStr">
        <is>
          <t>Value</t>
        </is>
      </c>
      <c r="C17" s="79" t="inlineStr">
        <is>
          <t>Note</t>
        </is>
      </c>
    </row>
    <row r="18" ht="15" customHeight="1" s="70">
      <c r="A18" s="86" t="inlineStr">
        <is>
          <t>Headcount benefiting</t>
        </is>
      </c>
      <c r="B18" s="87" t="n">
        <v>30</v>
      </c>
      <c r="C18" s="87" t="inlineStr">
        <is>
          <t>FTE</t>
        </is>
      </c>
    </row>
    <row r="19" ht="15" customHeight="1" s="70">
      <c r="A19" s="88" t="inlineStr">
        <is>
          <t>Loaded cost per FTE (USD)</t>
        </is>
      </c>
      <c r="B19" s="89" t="n">
        <v>80000</v>
      </c>
      <c r="C19" s="89" t="inlineStr">
        <is>
          <t>Salary × 1.4</t>
        </is>
      </c>
    </row>
    <row r="20" ht="15" customHeight="1" s="70">
      <c r="A20" s="86" t="inlineStr">
        <is>
          <t>Annual hours per FTE</t>
        </is>
      </c>
      <c r="B20" s="87" t="n">
        <v>2000</v>
      </c>
      <c r="C20" s="87" t="n"/>
    </row>
    <row r="21" ht="15" customHeight="1" s="70">
      <c r="A21" s="88" t="inlineStr">
        <is>
          <t>Loaded $/hour</t>
        </is>
      </c>
      <c r="B21" s="89" t="n">
        <v>40</v>
      </c>
      <c r="C21" s="89" t="inlineStr">
        <is>
          <t>80,000/2,000</t>
        </is>
      </c>
    </row>
    <row r="22" ht="23.25" customHeight="1" s="70">
      <c r="A22" s="86" t="inlineStr">
        <is>
          <t>Productivity uplift (AI-fit work) %</t>
        </is>
      </c>
      <c r="B22" s="87" t="inlineStr">
        <is>
          <t>15%</t>
        </is>
      </c>
      <c r="C22" s="87" t="inlineStr">
        <is>
          <t>Brynjolfsson midpoint</t>
        </is>
      </c>
    </row>
    <row r="23" ht="15" customHeight="1" s="70">
      <c r="A23" s="88" t="inlineStr">
        <is>
          <t>Share of work that is AI-fit %</t>
        </is>
      </c>
      <c r="B23" s="89" t="inlineStr">
        <is>
          <t>40%</t>
        </is>
      </c>
      <c r="C23" s="89" t="inlineStr">
        <is>
          <t>Conservative</t>
        </is>
      </c>
    </row>
    <row r="24" ht="15" customHeight="1" s="70">
      <c r="A24" s="86" t="inlineStr">
        <is>
          <t>Adoption %</t>
        </is>
      </c>
      <c r="B24" s="87" t="inlineStr">
        <is>
          <t>60%</t>
        </is>
      </c>
      <c r="C24" s="87" t="inlineStr">
        <is>
          <t>After 12 months</t>
        </is>
      </c>
    </row>
    <row r="25" ht="15" customHeight="1" s="70">
      <c r="A25" s="88" t="inlineStr">
        <is>
          <t>HITL drag %</t>
        </is>
      </c>
      <c r="B25" s="89" t="inlineStr">
        <is>
          <t>20%</t>
        </is>
      </c>
      <c r="C25" s="89" t="inlineStr">
        <is>
          <t>Of gross uplift</t>
        </is>
      </c>
    </row>
    <row r="26" ht="15" customHeight="1" s="70">
      <c r="A26" s="86" t="inlineStr">
        <is>
          <t>Integration tax %</t>
        </is>
      </c>
      <c r="B26" s="87" t="inlineStr">
        <is>
          <t>15%</t>
        </is>
      </c>
      <c r="C26" s="87" t="inlineStr">
        <is>
          <t>Of gross uplift</t>
        </is>
      </c>
    </row>
    <row r="27" ht="15" customHeight="1" s="70">
      <c r="A27" s="88" t="inlineStr">
        <is>
          <t>Gross uplift hours / year</t>
        </is>
      </c>
      <c r="B27" s="89" t="inlineStr">
        <is>
          <t>21,600</t>
        </is>
      </c>
      <c r="C27" s="89" t="inlineStr">
        <is>
          <t>30 x 2,000 x 15% x 40% x 60%</t>
        </is>
      </c>
    </row>
    <row r="28" ht="15" customHeight="1" s="70">
      <c r="A28" s="86" t="inlineStr">
        <is>
          <t>Net uplift hours / year (after drags)</t>
        </is>
      </c>
      <c r="B28" s="87" t="inlineStr">
        <is>
          <t>14,040</t>
        </is>
      </c>
      <c r="C28" s="87" t="inlineStr">
        <is>
          <t>21,600 x (1-0.20-0.15)</t>
        </is>
      </c>
    </row>
    <row r="29" ht="15" customHeight="1" s="70">
      <c r="A29" s="88" t="inlineStr">
        <is>
          <t>Net annual value (USD)</t>
        </is>
      </c>
      <c r="B29" s="89" t="inlineStr">
        <is>
          <t>$561,600</t>
        </is>
      </c>
      <c r="C29" s="89" t="inlineStr">
        <is>
          <t>14,040 x $40</t>
        </is>
      </c>
    </row>
    <row r="30" ht="23.25" customHeight="1" s="70">
      <c r="A30" s="86" t="inlineStr">
        <is>
          <t>Vendor price (per-seat $30/mo × 18 active users × 12)</t>
        </is>
      </c>
      <c r="B30" s="87" t="inlineStr">
        <is>
          <t>$6,480</t>
        </is>
      </c>
      <c r="C30" s="87" t="inlineStr">
        <is>
          <t>Per-seat reference</t>
        </is>
      </c>
    </row>
    <row r="31" ht="15" customHeight="1" s="70">
      <c r="A31" s="88" t="inlineStr">
        <is>
          <t>Customer retained value</t>
        </is>
      </c>
      <c r="B31" s="89" t="inlineStr">
        <is>
          <t>$555,120</t>
        </is>
      </c>
      <c r="C31" s="89" t="inlineStr">
        <is>
          <t>net value minus price</t>
        </is>
      </c>
    </row>
    <row r="32" ht="23.25" customHeight="1" s="70">
      <c r="A32" s="86" t="inlineStr">
        <is>
          <t>Vendor capture %</t>
        </is>
      </c>
      <c r="B32" s="87" t="inlineStr">
        <is>
          <t>1.2%</t>
        </is>
      </c>
      <c r="C32" s="87" t="inlineStr">
        <is>
          <t>Per-seat leaves &gt;98% on table</t>
        </is>
      </c>
    </row>
    <row r="33" ht="23.25" customHeight="1" s="70">
      <c r="A33" s="88" t="inlineStr">
        <is>
          <t>Outcome-based reference (at 30% capture)</t>
        </is>
      </c>
      <c r="B33" s="89" t="inlineStr">
        <is>
          <t>$168,480</t>
        </is>
      </c>
      <c r="C33" s="89" t="inlineStr">
        <is>
          <t>Same value, repriced</t>
        </is>
      </c>
    </row>
    <row r="35" ht="60" customHeight="1" s="70">
      <c r="A35" s="90" t="inlineStr">
        <is>
          <t>Insight  |  The defensible ROI math anchors at 20–30% uplift × 40% AI-fit work × 60% adoption × 65% net after drags. In a typical services firm, this yields ~$15–25K net value per benefiting FTE per year — a real number, but nowhere near the marketing claim of '90% time saved'. Pricing decision: at $30/seat/month, vendor captures ~1% of value; outcome-based at 30% capture would yield ~$170K vs ~$6K. The gap is the strategic prize.</t>
        </is>
      </c>
    </row>
    <row r="36" ht="30" customHeight="1" s="70">
      <c r="A36" s="77" t="inlineStr">
        <is>
          <t>Source  |  Brynjolfsson et al. — Generative AI at work (NBER)  —  https://www.nber.org/papers/w31161</t>
        </is>
      </c>
    </row>
    <row r="37" ht="30" customHeight="1" s="70">
      <c r="A37" s="77" t="inlineStr">
        <is>
          <t>Source  |  MIT NANDA — State of AI in Business 2025  —  https://mlq.ai/media/quarterly_decks/v0.1_State_of_AI_in_Business_2025_Report.pdf</t>
        </is>
      </c>
    </row>
    <row r="38" ht="30" customHeight="1" s="70">
      <c r="A38" s="77" t="inlineStr">
        <is>
          <t>Source  |  BCG — AI at Work 2025  —  https://www.bcg.com/publications/2025/ai-at-work-momentum-builds-but-gaps-remain</t>
        </is>
      </c>
    </row>
  </sheetData>
  <mergeCells count="6">
    <mergeCell ref="A35:H35"/>
    <mergeCell ref="A38:H38"/>
    <mergeCell ref="A2:H2"/>
    <mergeCell ref="A36:H36"/>
    <mergeCell ref="A1:H1"/>
    <mergeCell ref="A37:H37"/>
  </mergeCells>
  <hyperlinks>
    <hyperlink xmlns:r="http://schemas.openxmlformats.org/officeDocument/2006/relationships" ref="A36" display="Source  |  Brynjolfsson et al. — Generative AI at work (NBER)  —  https://www.nber.org/papers/w31161" r:id="rId1"/>
    <hyperlink xmlns:r="http://schemas.openxmlformats.org/officeDocument/2006/relationships" ref="A37" display="Source  |  MIT NANDA — State of AI in Business 2025  —  https://mlq.ai/media/quarterly_decks/v0.1_State_of_AI_in_Business_2025_Report.pdf" r:id="rId2"/>
    <hyperlink xmlns:r="http://schemas.openxmlformats.org/officeDocument/2006/relationships" ref="A38" display="Source  |  BCG — AI at Work 2025  —  https://www.bcg.com/publications/2025/ai-at-work-momentum-builds-but-gaps-remain"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8.xml><?xml version="1.0" encoding="utf-8"?>
<worksheet xmlns="http://schemas.openxmlformats.org/spreadsheetml/2006/main">
  <sheetPr filterMode="0">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69" min="1" max="1"/>
    <col width="16" customWidth="1" style="69" min="2" max="8"/>
  </cols>
  <sheetData>
    <row r="1" ht="30" customHeight="1" s="70">
      <c r="A1" s="78" t="inlineStr">
        <is>
          <t>V05  |  AI pricing benchmarks today — outcome ($0.99/resolution) to hybrid effort-based, with per-seat losing share</t>
        </is>
      </c>
    </row>
    <row r="2" ht="21.75" customHeight="1" s="70">
      <c r="A2" s="84" t="inlineStr">
        <is>
          <t>What are real AI vendors charging, and on what unit?</t>
        </is>
      </c>
    </row>
    <row r="4" ht="15" customHeight="1" s="70">
      <c r="A4" s="79" t="inlineStr">
        <is>
          <t>Vendor</t>
        </is>
      </c>
      <c r="B4" s="79" t="inlineStr">
        <is>
          <t>Category</t>
        </is>
      </c>
      <c r="C4" s="79" t="inlineStr">
        <is>
          <t>Pricing unit</t>
        </is>
      </c>
      <c r="D4" s="79" t="inlineStr">
        <is>
          <t>Price level</t>
        </is>
      </c>
      <c r="E4" s="79" t="inlineStr">
        <is>
          <t>Notes</t>
        </is>
      </c>
    </row>
    <row r="5" ht="34.5" customHeight="1" s="70">
      <c r="A5" s="86" t="inlineStr">
        <is>
          <t>Intercom Fin</t>
        </is>
      </c>
      <c r="B5" s="87" t="inlineStr">
        <is>
          <t>AI customer support agent</t>
        </is>
      </c>
      <c r="C5" s="87" t="inlineStr">
        <is>
          <t>Per outcome / resolution</t>
        </is>
      </c>
      <c r="D5" s="87" t="inlineStr">
        <is>
          <t>$0.99 / resolution</t>
        </is>
      </c>
      <c r="E5" s="87" t="inlineStr">
        <is>
          <t>Performance guarantee up to $1M</t>
        </is>
      </c>
    </row>
    <row r="6" ht="23.25" customHeight="1" s="70">
      <c r="A6" s="88" t="inlineStr">
        <is>
          <t>Microsoft 365 Copilot</t>
        </is>
      </c>
      <c r="B6" s="89" t="inlineStr">
        <is>
          <t>Productivity assistant</t>
        </is>
      </c>
      <c r="C6" s="89" t="inlineStr">
        <is>
          <t>Per seat / month</t>
        </is>
      </c>
      <c r="D6" s="89" t="inlineStr">
        <is>
          <t>$30 / seat / mo</t>
        </is>
      </c>
      <c r="E6" s="89" t="inlineStr">
        <is>
          <t>Generic, broad</t>
        </is>
      </c>
    </row>
    <row r="7" ht="23.25" customHeight="1" s="70">
      <c r="A7" s="86" t="inlineStr">
        <is>
          <t>OpenAI ChatGPT Enterprise</t>
        </is>
      </c>
      <c r="B7" s="87" t="inlineStr">
        <is>
          <t>LLM seat</t>
        </is>
      </c>
      <c r="C7" s="87" t="inlineStr">
        <is>
          <t>Per seat / month</t>
        </is>
      </c>
      <c r="D7" s="87" t="inlineStr">
        <is>
          <t>~$60 / seat / mo (negotiated)</t>
        </is>
      </c>
      <c r="E7" s="87" t="inlineStr">
        <is>
          <t>Capability access</t>
        </is>
      </c>
    </row>
    <row r="8" ht="23.25" customHeight="1" s="70">
      <c r="A8" s="88" t="inlineStr">
        <is>
          <t>Cursor</t>
        </is>
      </c>
      <c r="B8" s="89" t="inlineStr">
        <is>
          <t>AI coding agent</t>
        </is>
      </c>
      <c r="C8" s="89" t="inlineStr">
        <is>
          <t>Hybrid usage + tier</t>
        </is>
      </c>
      <c r="D8" s="89" t="inlineStr">
        <is>
          <t>$20 Pro / $200 Ultra</t>
        </is>
      </c>
      <c r="E8" s="89" t="inlineStr">
        <is>
          <t>Token + compute consumption</t>
        </is>
      </c>
    </row>
    <row r="9" ht="23.25" customHeight="1" s="70">
      <c r="A9" s="86" t="inlineStr">
        <is>
          <t>Devin (Cognition)</t>
        </is>
      </c>
      <c r="B9" s="87" t="inlineStr">
        <is>
          <t>Autonomous coding agent</t>
        </is>
      </c>
      <c r="C9" s="87" t="inlineStr">
        <is>
          <t>Agent Compute Units (ACU)</t>
        </is>
      </c>
      <c r="D9" s="87" t="inlineStr">
        <is>
          <t>$20/mo with ~9 ACUs</t>
        </is>
      </c>
      <c r="E9" s="87" t="inlineStr">
        <is>
          <t>1 ACU ≈ 15 min AI work</t>
        </is>
      </c>
    </row>
    <row r="10" ht="34.5" customHeight="1" s="70">
      <c r="A10" s="88" t="inlineStr">
        <is>
          <t>Replit</t>
        </is>
      </c>
      <c r="B10" s="89" t="inlineStr">
        <is>
          <t>AI dev environment</t>
        </is>
      </c>
      <c r="C10" s="89" t="inlineStr">
        <is>
          <t>Effort-based</t>
        </is>
      </c>
      <c r="D10" s="89" t="inlineStr">
        <is>
          <t>Pennies per simple edit, $$ per complex task</t>
        </is>
      </c>
      <c r="E10" s="89" t="inlineStr">
        <is>
          <t>Task complexity-priced</t>
        </is>
      </c>
    </row>
    <row r="11" ht="23.25" customHeight="1" s="70">
      <c r="A11" s="86" t="inlineStr">
        <is>
          <t>Lovable</t>
        </is>
      </c>
      <c r="B11" s="87" t="inlineStr">
        <is>
          <t>AI app builder</t>
        </is>
      </c>
      <c r="C11" s="87" t="inlineStr">
        <is>
          <t>Credit-based (effort-weighted)</t>
        </is>
      </c>
      <c r="D11" s="87" t="inlineStr">
        <is>
          <t>$25/mo Pro, 100 credits</t>
        </is>
      </c>
      <c r="E11" s="87" t="inlineStr">
        <is>
          <t>0.9–1.7 credits per task type</t>
        </is>
      </c>
    </row>
    <row r="12" ht="23.25" customHeight="1" s="70">
      <c r="A12" s="88" t="inlineStr">
        <is>
          <t>Salesforce Agentforce</t>
        </is>
      </c>
      <c r="B12" s="89" t="inlineStr">
        <is>
          <t>AI agents</t>
        </is>
      </c>
      <c r="C12" s="89" t="inlineStr">
        <is>
          <t>Per conversation / per action</t>
        </is>
      </c>
      <c r="D12" s="89" t="inlineStr">
        <is>
          <t>~$2 / conversation</t>
        </is>
      </c>
      <c r="E12" s="89" t="inlineStr">
        <is>
          <t>Mixed model</t>
        </is>
      </c>
    </row>
    <row r="13" ht="23.25" customHeight="1" s="70">
      <c r="A13" s="86" t="inlineStr">
        <is>
          <t>Harvey AI</t>
        </is>
      </c>
      <c r="B13" s="87" t="inlineStr">
        <is>
          <t>Legal AI</t>
        </is>
      </c>
      <c r="C13" s="87" t="inlineStr">
        <is>
          <t>Enterprise subscription</t>
        </is>
      </c>
      <c r="D13" s="87" t="inlineStr">
        <is>
          <t>Custom (high 5/6-figure)</t>
        </is>
      </c>
      <c r="E13" s="87" t="inlineStr">
        <is>
          <t>Bundled with services</t>
        </is>
      </c>
    </row>
    <row r="14" ht="23.25" customHeight="1" s="70">
      <c r="A14" s="88" t="inlineStr">
        <is>
          <t>Generic API (Claude / GPT-4 class)</t>
        </is>
      </c>
      <c r="B14" s="89" t="inlineStr">
        <is>
          <t>LLM token</t>
        </is>
      </c>
      <c r="C14" s="89" t="inlineStr">
        <is>
          <t>Per million tokens</t>
        </is>
      </c>
      <c r="D14" s="89" t="inlineStr">
        <is>
          <t>$3–$15 input / $15–$75 output</t>
        </is>
      </c>
      <c r="E14" s="89" t="inlineStr">
        <is>
          <t>Pure usage</t>
        </is>
      </c>
    </row>
    <row r="16" ht="15" customHeight="1" s="70">
      <c r="A16" s="85" t="inlineStr">
        <is>
          <t>Chart data — pricing unit distribution in 2026 AI vendor market</t>
        </is>
      </c>
    </row>
    <row r="17" ht="23.25" customHeight="1" s="70">
      <c r="A17" s="79" t="inlineStr">
        <is>
          <t>Model</t>
        </is>
      </c>
      <c r="B17" s="79" t="inlineStr">
        <is>
          <t>Approx market share %</t>
        </is>
      </c>
    </row>
    <row r="18" ht="15" customHeight="1" s="70">
      <c r="A18" s="86" t="inlineStr">
        <is>
          <t>Per-seat (declining)</t>
        </is>
      </c>
      <c r="B18" s="87" t="n">
        <v>30</v>
      </c>
    </row>
    <row r="19" ht="15" customHeight="1" s="70">
      <c r="A19" s="88" t="inlineStr">
        <is>
          <t>Usage / token</t>
        </is>
      </c>
      <c r="B19" s="89" t="n">
        <v>25</v>
      </c>
    </row>
    <row r="20" ht="15" customHeight="1" s="70">
      <c r="A20" s="86" t="inlineStr">
        <is>
          <t>Hybrid (base + usage)</t>
        </is>
      </c>
      <c r="B20" s="87" t="n">
        <v>31</v>
      </c>
    </row>
    <row r="21" ht="15" customHeight="1" s="70">
      <c r="A21" s="88" t="inlineStr">
        <is>
          <t>Outcome-based</t>
        </is>
      </c>
      <c r="B21" s="89" t="n">
        <v>10</v>
      </c>
    </row>
    <row r="22" ht="15" customHeight="1" s="70">
      <c r="A22" s="86" t="inlineStr">
        <is>
          <t>Effort / credit</t>
        </is>
      </c>
      <c r="B22" s="87" t="n">
        <v>4</v>
      </c>
    </row>
    <row r="23" ht="60" customHeight="1" s="70">
      <c r="A23" s="90" t="inlineStr">
        <is>
          <t>Insight  |  Bloomberg / Monetizely project per-seat falling from 60% to 30% of software pricing over the decade; outcome-based rising from 10% to 60%. The decisive change in 2024–2026 has been the move from token to effort/task-based at the coding agents (Cursor, Devin, Replit, Lovable) — because tokens don't correlate with value delivered. Intercom Fin set the outcome-based standard at $0.99/resolution and grew $1M → $100M+ ARR.</t>
        </is>
      </c>
    </row>
    <row r="24" ht="30" customHeight="1" s="70">
      <c r="A24" s="77" t="inlineStr">
        <is>
          <t>Source  |  Intercom Fin pricing  —  https://fin.ai/pricing</t>
        </is>
      </c>
    </row>
    <row r="25" ht="30" customHeight="1" s="70">
      <c r="A25" s="77" t="inlineStr">
        <is>
          <t>Source  |  Intercom Fin AI outcomes — help docs  —  https://www.intercom.com/help/en/articles/8205718-fin-ai-agent-outcomes</t>
        </is>
      </c>
    </row>
    <row r="26" ht="30" customHeight="1" s="70">
      <c r="A26" s="77" t="inlineStr">
        <is>
          <t>Source  |  GTM newsletter — $100M Intercom AI agent  —  https://thegtmnewsletter.substack.com/p/gtm-178-intercom-ai-agent-outcome-based-pricing-archana-agrawal</t>
        </is>
      </c>
    </row>
    <row r="27" ht="30" customHeight="1" s="70">
      <c r="A27" s="77" t="inlineStr">
        <is>
          <t>Source  |  Tokenomics — pricing of AI coding agents  —  https://dannguyenhuu.substack.com/p/tokenomics-1-the-pricing-evolution</t>
        </is>
      </c>
    </row>
    <row r="28" ht="30" customHeight="1" s="70">
      <c r="A28" s="77" t="inlineStr">
        <is>
          <t>Source  |  Lovable vs Cursor — pricing breakdown  —  https://lovable.dev/guides/replit-vs-cursor</t>
        </is>
      </c>
    </row>
    <row r="29" ht="30" customHeight="1" s="70">
      <c r="A29" s="77" t="inlineStr">
        <is>
          <t>Source  |  Bessemer — AI pricing playbook  —  https://www.bvp.com/atlas/the-ai-pricing-and-monetization-playbook</t>
        </is>
      </c>
    </row>
    <row r="30" ht="30" customHeight="1" s="70">
      <c r="A30" s="77" t="inlineStr">
        <is>
          <t>Source  |  Monetizely — 2026 Guide  —  https://www.getmonetizely.com/blogs/the-2026-guide-to-saas-ai-and-agentic-pricing-models</t>
        </is>
      </c>
    </row>
    <row r="32" ht="79.5" customHeight="1" s="70">
      <c r="A32" s="90" t="inlineStr">
        <is>
          <t>CORRECTION FROM STATISTA DATA (ST08)  |  Buyer preference for agentic AI pricing differs from vendor mix. Statista 2025 (n=large enterprise buyers): Consumption 55%, Platform 43%, License 37%, Tier 33%, Outcome only 17%. Vendor narrative ('outcome-based is the future') runs ahead of buyer preference. Pricing recommendation: lead with consumption/hybrid for broad adoption; reserve outcome for premium tier with confident attribution.</t>
        </is>
      </c>
    </row>
    <row r="33" ht="30" customHeight="1" s="70">
      <c r="A33" s="77" t="inlineStr">
        <is>
          <t>Source  |  Statista 1620734 — Preferred pricing models for agentic AI  —  https://www.statista.com/statistics/1620734/adoption-of-pricing-models-for-agentic-ai-tools/</t>
        </is>
      </c>
    </row>
  </sheetData>
  <mergeCells count="12">
    <mergeCell ref="A26:H26"/>
    <mergeCell ref="A30:H30"/>
    <mergeCell ref="A29:H29"/>
    <mergeCell ref="A25:H25"/>
    <mergeCell ref="A24:H24"/>
    <mergeCell ref="A2:H2"/>
    <mergeCell ref="A28:H28"/>
    <mergeCell ref="A33:H33"/>
    <mergeCell ref="A1:H1"/>
    <mergeCell ref="A23:H23"/>
    <mergeCell ref="A32:H32"/>
    <mergeCell ref="A27:H27"/>
  </mergeCells>
  <hyperlinks>
    <hyperlink xmlns:r="http://schemas.openxmlformats.org/officeDocument/2006/relationships" ref="A24" display="Source  |  Intercom Fin pricing  —  https://fin.ai/pricing" r:id="rId1"/>
    <hyperlink xmlns:r="http://schemas.openxmlformats.org/officeDocument/2006/relationships" ref="A25" display="Source  |  Intercom Fin AI outcomes — help docs  —  https://www.intercom.com/help/en/articles/8205718-fin-ai-agent-outcomes" r:id="rId2"/>
    <hyperlink xmlns:r="http://schemas.openxmlformats.org/officeDocument/2006/relationships" ref="A26" display="Source  |  GTM newsletter — $100M Intercom AI agent  —  https://thegtmnewsletter.substack.com/p/gtm-178-intercom-ai-agent-outcome-based-pricing-archana-agrawal" r:id="rId3"/>
    <hyperlink xmlns:r="http://schemas.openxmlformats.org/officeDocument/2006/relationships" ref="A27" display="Source  |  Tokenomics — pricing of AI coding agents  —  https://dannguyenhuu.substack.com/p/tokenomics-1-the-pricing-evolution" r:id="rId4"/>
    <hyperlink xmlns:r="http://schemas.openxmlformats.org/officeDocument/2006/relationships" ref="A28" display="Source  |  Lovable vs Cursor — pricing breakdown  —  https://lovable.dev/guides/replit-vs-cursor" r:id="rId5"/>
    <hyperlink xmlns:r="http://schemas.openxmlformats.org/officeDocument/2006/relationships" ref="A29" display="Source  |  Bessemer — AI pricing playbook  —  https://www.bvp.com/atlas/the-ai-pricing-and-monetization-playbook" r:id="rId6"/>
    <hyperlink xmlns:r="http://schemas.openxmlformats.org/officeDocument/2006/relationships" ref="A30" display="Source  |  Monetizely — 2026 Guide  —  https://www.getmonetizely.com/blogs/the-2026-guide-to-saas-ai-and-agentic-pricing-models" r:id="rId7"/>
    <hyperlink xmlns:r="http://schemas.openxmlformats.org/officeDocument/2006/relationships" ref="A33" display="Source  |  Statista 1620734 — Preferred pricing models for agentic AI  —  https://www.statista.com/statistics/1620734/adoption-of-pricing-models-for-agentic-ai-tools/" r:id="rId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9"/>
</worksheet>
</file>

<file path=xl/worksheets/sheet59.xml><?xml version="1.0" encoding="utf-8"?>
<worksheet xmlns="http://schemas.openxmlformats.org/spreadsheetml/2006/main">
  <sheetPr filterMode="0">
    <outlinePr summaryBelow="1" summaryRight="1"/>
    <pageSetUpPr fitToPage="0"/>
  </sheetPr>
  <dimension ref="A1:H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69" min="1" max="1"/>
    <col width="22" customWidth="1" style="69" min="2" max="2"/>
    <col width="12" customWidth="1" style="69" min="3" max="5"/>
    <col width="14" customWidth="1" style="69" min="6" max="8"/>
  </cols>
  <sheetData>
    <row r="1" ht="31.5" customHeight="1" s="70">
      <c r="A1" s="78" t="inlineStr">
        <is>
          <t>VI01  |  Value Index — a common denominator across sectors: % uplift on AI-fit work, split into revenue-side and cost-side</t>
        </is>
      </c>
    </row>
    <row r="2" ht="21.75" customHeight="1" s="70">
      <c r="A2" s="84" t="inlineStr">
        <is>
          <t>How do we compare AI value across sectors with different units (hours, revenue, burnout)?</t>
        </is>
      </c>
    </row>
    <row r="4" ht="75" customHeight="1" s="70">
      <c r="A4" s="76" t="inlineStr">
        <is>
          <t>Value Index definition  |  V_index = % uplift on AI-fit work, normalised. Decomposed into: (a) Revenue-side value = % of uplift that comes from incremental revenue (higher conversion, more output sold, faster TTM); (b) Cost-side value = % of uplift that comes from labour or COGS reduction. Most credible sources today land between 14% and 40% on the headline V_index, with the cost-side dominant in ~9 of 12 sectors.</t>
        </is>
      </c>
    </row>
    <row r="6" ht="23.25" customHeight="1" s="70">
      <c r="A6" s="79" t="inlineStr">
        <is>
          <t>Sector</t>
        </is>
      </c>
      <c r="B6" s="79" t="inlineStr">
        <is>
          <t>Primary value unit</t>
        </is>
      </c>
      <c r="C6" s="79" t="inlineStr">
        <is>
          <t>V_index midpoint</t>
        </is>
      </c>
      <c r="D6" s="79" t="inlineStr">
        <is>
          <t>Cost-side %</t>
        </is>
      </c>
      <c r="E6" s="79" t="inlineStr">
        <is>
          <t>Revenue-side %</t>
        </is>
      </c>
      <c r="F6" s="79" t="inlineStr">
        <is>
          <t>Confidence</t>
        </is>
      </c>
      <c r="G6" s="79" t="inlineStr">
        <is>
          <t>Anchor study</t>
        </is>
      </c>
    </row>
    <row r="7" ht="23.25" customHeight="1" s="70">
      <c r="A7" s="86" t="inlineStr">
        <is>
          <t>Software development</t>
        </is>
      </c>
      <c r="B7" s="87" t="inlineStr">
        <is>
          <t>Hours saved on dev tasks</t>
        </is>
      </c>
      <c r="C7" s="87" t="inlineStr">
        <is>
          <t>25%</t>
        </is>
      </c>
      <c r="D7" s="87" t="inlineStr">
        <is>
          <t>95%</t>
        </is>
      </c>
      <c r="E7" s="87" t="inlineStr">
        <is>
          <t>5%</t>
        </is>
      </c>
      <c r="F7" s="118" t="inlineStr">
        <is>
          <t>High</t>
        </is>
      </c>
      <c r="G7" s="87" t="inlineStr">
        <is>
          <t>METR + Copilot RCT</t>
        </is>
      </c>
    </row>
    <row r="8" ht="23.25" customHeight="1" s="70">
      <c r="A8" s="88" t="inlineStr">
        <is>
          <t>Customer service</t>
        </is>
      </c>
      <c r="B8" s="89" t="inlineStr">
        <is>
          <t>Issues / hr or resolutions</t>
        </is>
      </c>
      <c r="C8" s="89" t="inlineStr">
        <is>
          <t>15%</t>
        </is>
      </c>
      <c r="D8" s="89" t="inlineStr">
        <is>
          <t>90%</t>
        </is>
      </c>
      <c r="E8" s="89" t="inlineStr">
        <is>
          <t>10%</t>
        </is>
      </c>
      <c r="F8" s="118" t="inlineStr">
        <is>
          <t>High</t>
        </is>
      </c>
      <c r="G8" s="89" t="inlineStr">
        <is>
          <t>Brynjolfsson NBER</t>
        </is>
      </c>
    </row>
    <row r="9" ht="23.25" customHeight="1" s="70">
      <c r="A9" s="86" t="inlineStr">
        <is>
          <t>Writing / Marketing creative</t>
        </is>
      </c>
      <c r="B9" s="87" t="inlineStr">
        <is>
          <t>Time per asset</t>
        </is>
      </c>
      <c r="C9" s="87" t="inlineStr">
        <is>
          <t>37%</t>
        </is>
      </c>
      <c r="D9" s="87" t="inlineStr">
        <is>
          <t>80%</t>
        </is>
      </c>
      <c r="E9" s="87" t="inlineStr">
        <is>
          <t>20%</t>
        </is>
      </c>
      <c r="F9" s="118" t="inlineStr">
        <is>
          <t>High</t>
        </is>
      </c>
      <c r="G9" s="87" t="inlineStr">
        <is>
          <t>Noy &amp; Zhang Science</t>
        </is>
      </c>
    </row>
    <row r="10" ht="15" customHeight="1" s="70">
      <c r="A10" s="88" t="inlineStr">
        <is>
          <t>Sales</t>
        </is>
      </c>
      <c r="B10" s="89" t="inlineStr">
        <is>
          <t>Win-rate, conversion</t>
        </is>
      </c>
      <c r="C10" s="89" t="inlineStr">
        <is>
          <t>12%</t>
        </is>
      </c>
      <c r="D10" s="89" t="inlineStr">
        <is>
          <t>30%</t>
        </is>
      </c>
      <c r="E10" s="89" t="inlineStr">
        <is>
          <t>70%</t>
        </is>
      </c>
      <c r="F10" s="117" t="inlineStr">
        <is>
          <t>Medium</t>
        </is>
      </c>
      <c r="G10" s="89" t="inlineStr">
        <is>
          <t>Bain Sales 2025</t>
        </is>
      </c>
    </row>
    <row r="11" ht="15" customHeight="1" s="70">
      <c r="A11" s="86" t="inlineStr">
        <is>
          <t>Consulting (in-frontier)</t>
        </is>
      </c>
      <c r="B11" s="87" t="inlineStr">
        <is>
          <t>Task speed + quality</t>
        </is>
      </c>
      <c r="C11" s="87" t="inlineStr">
        <is>
          <t>30%</t>
        </is>
      </c>
      <c r="D11" s="87" t="inlineStr">
        <is>
          <t>85%</t>
        </is>
      </c>
      <c r="E11" s="87" t="inlineStr">
        <is>
          <t>15%</t>
        </is>
      </c>
      <c r="F11" s="118" t="inlineStr">
        <is>
          <t>High</t>
        </is>
      </c>
      <c r="G11" s="87" t="inlineStr">
        <is>
          <t>Dell'Acqua HBS</t>
        </is>
      </c>
    </row>
    <row r="12" ht="23.25" customHeight="1" s="70">
      <c r="A12" s="88" t="inlineStr">
        <is>
          <t>Legal</t>
        </is>
      </c>
      <c r="B12" s="89" t="inlineStr">
        <is>
          <t>Hours of doc review</t>
        </is>
      </c>
      <c r="C12" s="89" t="inlineStr">
        <is>
          <t>30%</t>
        </is>
      </c>
      <c r="D12" s="89" t="inlineStr">
        <is>
          <t>100%</t>
        </is>
      </c>
      <c r="E12" s="89" t="inlineStr">
        <is>
          <t>0%</t>
        </is>
      </c>
      <c r="F12" s="118" t="inlineStr">
        <is>
          <t>High</t>
        </is>
      </c>
      <c r="G12" s="89" t="inlineStr">
        <is>
          <t>Choi/Schwarcz + JPM COIN</t>
        </is>
      </c>
    </row>
    <row r="13" ht="15" customHeight="1" s="70">
      <c r="A13" s="86" t="inlineStr">
        <is>
          <t>Finance back-office</t>
        </is>
      </c>
      <c r="B13" s="87" t="inlineStr">
        <is>
          <t>Routine task automation</t>
        </is>
      </c>
      <c r="C13" s="87" t="inlineStr">
        <is>
          <t>40%</t>
        </is>
      </c>
      <c r="D13" s="87" t="inlineStr">
        <is>
          <t>100%</t>
        </is>
      </c>
      <c r="E13" s="87" t="inlineStr">
        <is>
          <t>0%</t>
        </is>
      </c>
      <c r="F13" s="118" t="inlineStr">
        <is>
          <t>High</t>
        </is>
      </c>
      <c r="G13" s="87" t="inlineStr">
        <is>
          <t>IBM AskHR 94%</t>
        </is>
      </c>
    </row>
    <row r="14" ht="15" customHeight="1" s="70">
      <c r="A14" s="88" t="inlineStr">
        <is>
          <t>Healthcare (scribes)</t>
        </is>
      </c>
      <c r="B14" s="89" t="inlineStr">
        <is>
          <t>Documentation hours</t>
        </is>
      </c>
      <c r="C14" s="89" t="inlineStr">
        <is>
          <t>20%</t>
        </is>
      </c>
      <c r="D14" s="89" t="inlineStr">
        <is>
          <t>90%</t>
        </is>
      </c>
      <c r="E14" s="89" t="inlineStr">
        <is>
          <t>10%</t>
        </is>
      </c>
      <c r="F14" s="118" t="inlineStr">
        <is>
          <t>High</t>
        </is>
      </c>
      <c r="G14" s="89" t="inlineStr">
        <is>
          <t>JAMA + TPMG</t>
        </is>
      </c>
    </row>
    <row r="15" ht="23.25" customHeight="1" s="70">
      <c r="A15" s="86" t="inlineStr">
        <is>
          <t>Manufacturing (lighthouses)</t>
        </is>
      </c>
      <c r="B15" s="87" t="inlineStr">
        <is>
          <t>Throughput / defect</t>
        </is>
      </c>
      <c r="C15" s="87" t="inlineStr">
        <is>
          <t>150%</t>
        </is>
      </c>
      <c r="D15" s="87" t="inlineStr">
        <is>
          <t>70%</t>
        </is>
      </c>
      <c r="E15" s="87" t="inlineStr">
        <is>
          <t>30%</t>
        </is>
      </c>
      <c r="F15" s="117" t="inlineStr">
        <is>
          <t>Medium</t>
        </is>
      </c>
      <c r="G15" s="87" t="inlineStr">
        <is>
          <t>McKinsey lighthouses</t>
        </is>
      </c>
    </row>
    <row r="16" ht="15" customHeight="1" s="70">
      <c r="A16" s="88" t="inlineStr">
        <is>
          <t>AEC / Construction</t>
        </is>
      </c>
      <c r="B16" s="89" t="inlineStr">
        <is>
          <t>Cycle time / waste</t>
        </is>
      </c>
      <c r="C16" s="89" t="inlineStr">
        <is>
          <t>25%</t>
        </is>
      </c>
      <c r="D16" s="89" t="inlineStr">
        <is>
          <t>60%</t>
        </is>
      </c>
      <c r="E16" s="89" t="inlineStr">
        <is>
          <t>40%</t>
        </is>
      </c>
      <c r="F16" s="117" t="inlineStr">
        <is>
          <t>Low-Med</t>
        </is>
      </c>
      <c r="G16" s="89" t="inlineStr">
        <is>
          <t>Springer / MDPI</t>
        </is>
      </c>
    </row>
    <row r="17" ht="23.25" customHeight="1" s="70">
      <c r="A17" s="86" t="inlineStr">
        <is>
          <t>Education</t>
        </is>
      </c>
      <c r="B17" s="87" t="inlineStr">
        <is>
          <t>Learning gain / hr</t>
        </is>
      </c>
      <c r="C17" s="87" t="inlineStr">
        <is>
          <t>3%</t>
        </is>
      </c>
      <c r="D17" s="87" t="inlineStr">
        <is>
          <t>100%</t>
        </is>
      </c>
      <c r="E17" s="87" t="inlineStr">
        <is>
          <t>0%</t>
        </is>
      </c>
      <c r="F17" s="116" t="inlineStr">
        <is>
          <t>Low</t>
        </is>
      </c>
      <c r="G17" s="87" t="inlineStr">
        <is>
          <t>Khanmigo telemetry</t>
        </is>
      </c>
    </row>
    <row r="18" ht="23.25" customHeight="1" s="70">
      <c r="A18" s="88" t="inlineStr">
        <is>
          <t>Government</t>
        </is>
      </c>
      <c r="B18" s="89" t="inlineStr">
        <is>
          <t>Admin hours saved</t>
        </is>
      </c>
      <c r="C18" s="89" t="inlineStr">
        <is>
          <t>12.5%</t>
        </is>
      </c>
      <c r="D18" s="89" t="inlineStr">
        <is>
          <t>100%</t>
        </is>
      </c>
      <c r="E18" s="89" t="inlineStr">
        <is>
          <t>0%</t>
        </is>
      </c>
      <c r="F18" s="117" t="inlineStr">
        <is>
          <t>Medium</t>
        </is>
      </c>
      <c r="G18" s="89" t="inlineStr">
        <is>
          <t>Australia DTA pilot</t>
        </is>
      </c>
    </row>
    <row r="20" ht="15" customHeight="1" s="70">
      <c r="A20" s="85" t="inlineStr">
        <is>
          <t>Chart data — Cost-side vs Revenue-side decomposition (% of total V_index)</t>
        </is>
      </c>
    </row>
    <row r="21" ht="23.25" customHeight="1" s="70">
      <c r="A21" s="79" t="inlineStr">
        <is>
          <t>Sector</t>
        </is>
      </c>
      <c r="B21" s="79" t="inlineStr">
        <is>
          <t>Cost-side %</t>
        </is>
      </c>
      <c r="C21" s="79" t="inlineStr">
        <is>
          <t>Revenue-side %</t>
        </is>
      </c>
    </row>
    <row r="22" ht="15" customHeight="1" s="70">
      <c r="A22" s="86" t="inlineStr">
        <is>
          <t>Software dev</t>
        </is>
      </c>
      <c r="B22" s="87" t="n">
        <v>95</v>
      </c>
      <c r="C22" s="87" t="n">
        <v>5</v>
      </c>
    </row>
    <row r="23" ht="15" customHeight="1" s="70">
      <c r="A23" s="88" t="inlineStr">
        <is>
          <t>Customer service</t>
        </is>
      </c>
      <c r="B23" s="89" t="n">
        <v>90</v>
      </c>
      <c r="C23" s="89" t="n">
        <v>10</v>
      </c>
    </row>
    <row r="24" ht="15" customHeight="1" s="70">
      <c r="A24" s="86" t="inlineStr">
        <is>
          <t>Writing/marketing</t>
        </is>
      </c>
      <c r="B24" s="87" t="n">
        <v>80</v>
      </c>
      <c r="C24" s="87" t="n">
        <v>20</v>
      </c>
    </row>
    <row r="25" ht="15" customHeight="1" s="70">
      <c r="A25" s="88" t="inlineStr">
        <is>
          <t>Sales</t>
        </is>
      </c>
      <c r="B25" s="89" t="n">
        <v>30</v>
      </c>
      <c r="C25" s="89" t="n">
        <v>70</v>
      </c>
    </row>
    <row r="26" ht="15" customHeight="1" s="70">
      <c r="A26" s="86" t="inlineStr">
        <is>
          <t>Consulting</t>
        </is>
      </c>
      <c r="B26" s="87" t="n">
        <v>85</v>
      </c>
      <c r="C26" s="87" t="n">
        <v>15</v>
      </c>
    </row>
    <row r="27" ht="15" customHeight="1" s="70">
      <c r="A27" s="88" t="inlineStr">
        <is>
          <t>Legal</t>
        </is>
      </c>
      <c r="B27" s="89" t="n">
        <v>100</v>
      </c>
      <c r="C27" s="89" t="n">
        <v>0</v>
      </c>
    </row>
    <row r="28" ht="15" customHeight="1" s="70">
      <c r="A28" s="86" t="inlineStr">
        <is>
          <t>Finance back-office</t>
        </is>
      </c>
      <c r="B28" s="87" t="n">
        <v>100</v>
      </c>
      <c r="C28" s="87" t="n">
        <v>0</v>
      </c>
    </row>
    <row r="29" ht="15" customHeight="1" s="70">
      <c r="A29" s="88" t="inlineStr">
        <is>
          <t>Healthcare</t>
        </is>
      </c>
      <c r="B29" s="89" t="n">
        <v>90</v>
      </c>
      <c r="C29" s="89" t="n">
        <v>10</v>
      </c>
    </row>
    <row r="30" ht="15" customHeight="1" s="70">
      <c r="A30" s="86" t="inlineStr">
        <is>
          <t>Manufacturing</t>
        </is>
      </c>
      <c r="B30" s="87" t="n">
        <v>70</v>
      </c>
      <c r="C30" s="87" t="n">
        <v>30</v>
      </c>
    </row>
    <row r="31" ht="15" customHeight="1" s="70">
      <c r="A31" s="88" t="inlineStr">
        <is>
          <t>AEC</t>
        </is>
      </c>
      <c r="B31" s="89" t="n">
        <v>60</v>
      </c>
      <c r="C31" s="89" t="n">
        <v>40</v>
      </c>
    </row>
    <row r="32" ht="15" customHeight="1" s="70">
      <c r="A32" s="86" t="inlineStr">
        <is>
          <t>Education</t>
        </is>
      </c>
      <c r="B32" s="87" t="n">
        <v>100</v>
      </c>
      <c r="C32" s="87" t="n">
        <v>0</v>
      </c>
    </row>
    <row r="33" ht="15" customHeight="1" s="70">
      <c r="A33" s="88" t="inlineStr">
        <is>
          <t>Government</t>
        </is>
      </c>
      <c r="B33" s="89" t="n">
        <v>100</v>
      </c>
      <c r="C33" s="89" t="n">
        <v>0</v>
      </c>
    </row>
    <row r="35" ht="79.5" customHeight="1" s="70">
      <c r="A35" s="90" t="inlineStr">
        <is>
          <t>Insight  |  Out of 12 sectors, only 3 (sales, manufacturing, AEC) show meaningful revenue-side value share. The rest are 80–100% cost-side. This is the single most important strategic insight in the dossier — and the reason most AI pricing pitches feel weak. The science (Hinterhuber, Anderson/Narus) shows buyers respond to revenue-side value stories. AI's actual value mix runs against the grain of how buyers buy.</t>
        </is>
      </c>
    </row>
    <row r="36" ht="27.75" customHeight="1" s="70">
      <c r="A36" s="77" t="inlineStr">
        <is>
          <t xml:space="preserve">Source  |  Synthesis — see ST02–ST07 + S01–S12 + V01–V05 in this pack  —  </t>
        </is>
      </c>
    </row>
    <row r="37" ht="27.75" customHeight="1" s="70">
      <c r="A37" s="77" t="inlineStr">
        <is>
          <t>Source  |  Hinterhuber — Value first, then price (Routledge)  —  https://www.routledge.com/Value-First-Then-Price-Building-Value-Based-Pricing-Strategies/Hinterhuber-Snelgrove/p/book/9781032012124</t>
        </is>
      </c>
    </row>
    <row r="38" ht="27.75" customHeight="1" s="70">
      <c r="A38" s="77" t="inlineStr">
        <is>
          <t>Source  |  Anderson, Narus — Customer value propositions in B2B (HBR)  —  https://hbr.org/2006/03/customer-value-propositions-in-business-markets</t>
        </is>
      </c>
    </row>
  </sheetData>
  <mergeCells count="7">
    <mergeCell ref="A4:H4"/>
    <mergeCell ref="A35:H35"/>
    <mergeCell ref="A38:H38"/>
    <mergeCell ref="A2:H2"/>
    <mergeCell ref="A36:H36"/>
    <mergeCell ref="A1:H1"/>
    <mergeCell ref="A37:H37"/>
  </mergeCells>
  <hyperlinks>
    <hyperlink xmlns:r="http://schemas.openxmlformats.org/officeDocument/2006/relationships" ref="A37" display="Source  |  Hinterhuber — Value first, then price (Routledge)  —  https://www.routledge.com/Value-First-Then-Price-Building-Value-Based-Pricing-Strategies/Hinterhuber-Snelgrove/p/book/9781032012124" r:id="rId1"/>
    <hyperlink xmlns:r="http://schemas.openxmlformats.org/officeDocument/2006/relationships" ref="A38" display="Source  |  Anderson, Narus — Customer value propositions in B2B (HBR)  —  https://hbr.org/2006/03/customer-value-propositions-in-business-markets"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xl/worksheets/sheet60.xml><?xml version="1.0" encoding="utf-8"?>
<worksheet xmlns="http://schemas.openxmlformats.org/spreadsheetml/2006/main">
  <sheetPr filterMode="0">
    <outlinePr summaryBelow="1" summaryRight="1"/>
    <pageSetUpPr fitToPage="0"/>
  </sheetPr>
  <dimension ref="A1:H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69" min="1" max="1"/>
    <col width="20" customWidth="1" style="69" min="2" max="3"/>
    <col width="14" customWidth="1" style="69" min="4" max="8"/>
  </cols>
  <sheetData>
    <row r="1" ht="31.5" customHeight="1" s="70">
      <c r="A1" s="78" t="inlineStr">
        <is>
          <t>VI02  |  Revenue-uplift stories sell — cost-saving stories don't. Yet 80–100% of measured AI value is cost-side</t>
        </is>
      </c>
    </row>
    <row r="2" ht="21.75" customHeight="1" s="70">
      <c r="A2" s="84" t="inlineStr">
        <is>
          <t>Why is AI's actual value mix structurally weak as a buying argument?</t>
        </is>
      </c>
    </row>
    <row r="4" ht="15" customHeight="1" s="70">
      <c r="A4" s="85" t="inlineStr">
        <is>
          <t>Value framing — what the pricing science says</t>
        </is>
      </c>
    </row>
    <row r="5" ht="15" customHeight="1" s="70">
      <c r="A5" s="79" t="inlineStr">
        <is>
          <t>Frame type</t>
        </is>
      </c>
      <c r="B5" s="79" t="inlineStr">
        <is>
          <t>What it argues</t>
        </is>
      </c>
      <c r="C5" s="79" t="inlineStr">
        <is>
          <t>Buyer reception</t>
        </is>
      </c>
      <c r="D5" s="79" t="inlineStr">
        <is>
          <t>Source</t>
        </is>
      </c>
    </row>
    <row r="6" ht="34.5" customHeight="1" s="70">
      <c r="A6" s="86" t="inlineStr">
        <is>
          <t>Revenue uplift framing (the strong frame)</t>
        </is>
      </c>
      <c r="B6" s="87" t="inlineStr">
        <is>
          <t>Tied to top-line growth, margin expansion, market share</t>
        </is>
      </c>
      <c r="C6" s="87" t="inlineStr">
        <is>
          <t>BUYERS PREFER</t>
        </is>
      </c>
      <c r="D6" s="87" t="inlineStr">
        <is>
          <t>Anderson/Narus, Hinterhuber</t>
        </is>
      </c>
    </row>
    <row r="7" ht="34.5" customHeight="1" s="70">
      <c r="A7" s="88" t="inlineStr">
        <is>
          <t>Cost reduction framing (the weak frame)</t>
        </is>
      </c>
      <c r="B7" s="89" t="inlineStr">
        <is>
          <t>Tied to labour cost, COGS, opex displacement</t>
        </is>
      </c>
      <c r="C7" s="89" t="inlineStr">
        <is>
          <t>BUYERS RESIST (perceived as commodity)</t>
        </is>
      </c>
      <c r="D7" s="89" t="inlineStr">
        <is>
          <t>Anderson/Narus, Hinterhuber</t>
        </is>
      </c>
    </row>
    <row r="8" ht="34.5" customHeight="1" s="70">
      <c r="A8" s="86" t="inlineStr">
        <is>
          <t>Risk reduction framing (the conditional frame)</t>
        </is>
      </c>
      <c r="B8" s="87" t="inlineStr">
        <is>
          <t>Tied to compliance, liability, downside protection</t>
        </is>
      </c>
      <c r="C8" s="87" t="inlineStr">
        <is>
          <t>PREMIUM if regulated; ignored if not</t>
        </is>
      </c>
      <c r="D8" s="87" t="inlineStr">
        <is>
          <t>VBP literature</t>
        </is>
      </c>
    </row>
    <row r="9" ht="23.25" customHeight="1" s="70">
      <c r="A9" s="88" t="inlineStr">
        <is>
          <t>Strategic / qualitative framing</t>
        </is>
      </c>
      <c r="B9" s="89" t="inlineStr">
        <is>
          <t>Brand, capability, optionality</t>
        </is>
      </c>
      <c r="C9" s="89" t="inlineStr">
        <is>
          <t>Necessary supplement, not lead argument</t>
        </is>
      </c>
      <c r="D9" s="89" t="inlineStr">
        <is>
          <t>VBP literature</t>
        </is>
      </c>
    </row>
    <row r="11" ht="15" customHeight="1" s="70">
      <c r="A11" s="85" t="inlineStr">
        <is>
          <t>The AI value-frame asymmetry</t>
        </is>
      </c>
    </row>
    <row r="12" ht="23.25" customHeight="1" s="70">
      <c r="A12" s="79" t="inlineStr">
        <is>
          <t>Sector</t>
        </is>
      </c>
      <c r="B12" s="79" t="inlineStr">
        <is>
          <t>Cost-side share</t>
        </is>
      </c>
      <c r="C12" s="79" t="inlineStr">
        <is>
          <t>Revenue-side share</t>
        </is>
      </c>
      <c r="D12" s="79" t="inlineStr">
        <is>
          <t>Pricing-frame strength</t>
        </is>
      </c>
    </row>
    <row r="13" ht="23.25" customHeight="1" s="70">
      <c r="A13" s="86" t="inlineStr">
        <is>
          <t>Software development</t>
        </is>
      </c>
      <c r="B13" s="87" t="inlineStr">
        <is>
          <t>95%</t>
        </is>
      </c>
      <c r="C13" s="87" t="inlineStr">
        <is>
          <t>5%</t>
        </is>
      </c>
      <c r="D13" s="116" t="inlineStr">
        <is>
          <t>WEAK (cost-side)</t>
        </is>
      </c>
    </row>
    <row r="14" ht="23.25" customHeight="1" s="70">
      <c r="A14" s="88" t="inlineStr">
        <is>
          <t>Customer service</t>
        </is>
      </c>
      <c r="B14" s="89" t="inlineStr">
        <is>
          <t>90%</t>
        </is>
      </c>
      <c r="C14" s="89" t="inlineStr">
        <is>
          <t>10%</t>
        </is>
      </c>
      <c r="D14" s="116" t="inlineStr">
        <is>
          <t>WEAK (cost-side)</t>
        </is>
      </c>
    </row>
    <row r="15" ht="23.25" customHeight="1" s="70">
      <c r="A15" s="86" t="inlineStr">
        <is>
          <t>Sales (RARE EXCEPTION)</t>
        </is>
      </c>
      <c r="B15" s="87" t="inlineStr">
        <is>
          <t>30%</t>
        </is>
      </c>
      <c r="C15" s="87" t="inlineStr">
        <is>
          <t>70%</t>
        </is>
      </c>
      <c r="D15" s="118" t="inlineStr">
        <is>
          <t>STRONG (revenue-side)</t>
        </is>
      </c>
    </row>
    <row r="16" ht="15" customHeight="1" s="70">
      <c r="A16" s="88" t="inlineStr">
        <is>
          <t>Marketing creative</t>
        </is>
      </c>
      <c r="B16" s="89" t="inlineStr">
        <is>
          <t>80%</t>
        </is>
      </c>
      <c r="C16" s="89" t="inlineStr">
        <is>
          <t>20%</t>
        </is>
      </c>
      <c r="D16" s="117" t="inlineStr">
        <is>
          <t>WEAK-MEDIUM</t>
        </is>
      </c>
    </row>
    <row r="17" ht="23.25" customHeight="1" s="70">
      <c r="A17" s="86" t="inlineStr">
        <is>
          <t>Legal</t>
        </is>
      </c>
      <c r="B17" s="87" t="inlineStr">
        <is>
          <t>100%</t>
        </is>
      </c>
      <c r="C17" s="87" t="inlineStr">
        <is>
          <t>0%</t>
        </is>
      </c>
      <c r="D17" s="116" t="inlineStr">
        <is>
          <t>WEAK (cost-side)</t>
        </is>
      </c>
    </row>
    <row r="18" ht="23.25" customHeight="1" s="70">
      <c r="A18" s="88" t="inlineStr">
        <is>
          <t>Finance back-office</t>
        </is>
      </c>
      <c r="B18" s="89" t="inlineStr">
        <is>
          <t>100%</t>
        </is>
      </c>
      <c r="C18" s="89" t="inlineStr">
        <is>
          <t>0%</t>
        </is>
      </c>
      <c r="D18" s="116" t="inlineStr">
        <is>
          <t>WEAK (cost-side)</t>
        </is>
      </c>
    </row>
    <row r="19" ht="23.25" customHeight="1" s="70">
      <c r="A19" s="86" t="inlineStr">
        <is>
          <t>Healthcare clinical</t>
        </is>
      </c>
      <c r="B19" s="87" t="inlineStr">
        <is>
          <t>90%</t>
        </is>
      </c>
      <c r="C19" s="87" t="inlineStr">
        <is>
          <t>10%</t>
        </is>
      </c>
      <c r="D19" s="116" t="inlineStr">
        <is>
          <t>WEAK (cost-side)</t>
        </is>
      </c>
    </row>
    <row r="20" ht="15" customHeight="1" s="70">
      <c r="A20" s="88" t="inlineStr">
        <is>
          <t>Manufacturing</t>
        </is>
      </c>
      <c r="B20" s="89" t="inlineStr">
        <is>
          <t>70%</t>
        </is>
      </c>
      <c r="C20" s="89" t="inlineStr">
        <is>
          <t>30%</t>
        </is>
      </c>
      <c r="D20" s="117" t="inlineStr">
        <is>
          <t>MEDIUM</t>
        </is>
      </c>
    </row>
    <row r="21" ht="15" customHeight="1" s="70">
      <c r="A21" s="86" t="inlineStr">
        <is>
          <t>AEC</t>
        </is>
      </c>
      <c r="B21" s="87" t="inlineStr">
        <is>
          <t>60%</t>
        </is>
      </c>
      <c r="C21" s="87" t="inlineStr">
        <is>
          <t>40%</t>
        </is>
      </c>
      <c r="D21" s="117" t="inlineStr">
        <is>
          <t>MEDIUM</t>
        </is>
      </c>
    </row>
    <row r="22" ht="23.25" customHeight="1" s="70">
      <c r="A22" s="88" t="inlineStr">
        <is>
          <t>Education</t>
        </is>
      </c>
      <c r="B22" s="89" t="inlineStr">
        <is>
          <t>100%</t>
        </is>
      </c>
      <c r="C22" s="89" t="inlineStr">
        <is>
          <t>0%</t>
        </is>
      </c>
      <c r="D22" s="116" t="inlineStr">
        <is>
          <t>WEAK (cost-side)</t>
        </is>
      </c>
    </row>
    <row r="23" ht="23.25" customHeight="1" s="70">
      <c r="A23" s="86" t="inlineStr">
        <is>
          <t>Government</t>
        </is>
      </c>
      <c r="B23" s="87" t="inlineStr">
        <is>
          <t>100%</t>
        </is>
      </c>
      <c r="C23" s="87" t="inlineStr">
        <is>
          <t>0%</t>
        </is>
      </c>
      <c r="D23" s="116" t="inlineStr">
        <is>
          <t>WEAK (cost-side)</t>
        </is>
      </c>
    </row>
    <row r="25" ht="15" customHeight="1" s="70">
      <c r="A25" s="85" t="inlineStr">
        <is>
          <t>Reframe playbook — converting cost-side AI value into revenue-side argument</t>
        </is>
      </c>
    </row>
    <row r="26" ht="23.25" customHeight="1" s="70">
      <c r="A26" s="79" t="inlineStr">
        <is>
          <t>Cost-side raw input</t>
        </is>
      </c>
      <c r="B26" s="79" t="inlineStr">
        <is>
          <t>Revenue-side reframe (what buyer hears)</t>
        </is>
      </c>
      <c r="C26" s="79" t="inlineStr">
        <is>
          <t>Frame transformation</t>
        </is>
      </c>
    </row>
    <row r="27" ht="34.5" customHeight="1" s="70">
      <c r="A27" s="86" t="inlineStr">
        <is>
          <t>Hours saved</t>
        </is>
      </c>
      <c r="B27" s="87" t="inlineStr">
        <is>
          <t>Capacity to handle X more customers / projects</t>
        </is>
      </c>
      <c r="C27" s="87" t="inlineStr">
        <is>
          <t>From cost to revenue capacity</t>
        </is>
      </c>
    </row>
    <row r="28" ht="34.5" customHeight="1" s="70">
      <c r="A28" s="88" t="inlineStr">
        <is>
          <t>Faster cycle time</t>
        </is>
      </c>
      <c r="B28" s="89" t="inlineStr">
        <is>
          <t>Time-to-market compression worth $X in revenue</t>
        </is>
      </c>
      <c r="C28" s="89" t="inlineStr">
        <is>
          <t>From cost to revenue timing</t>
        </is>
      </c>
    </row>
    <row r="29" ht="23.25" customHeight="1" s="70">
      <c r="A29" s="86" t="inlineStr">
        <is>
          <t>Fewer errors</t>
        </is>
      </c>
      <c r="B29" s="87" t="inlineStr">
        <is>
          <t>Avoided revenue loss + reduced churn</t>
        </is>
      </c>
      <c r="C29" s="87" t="inlineStr">
        <is>
          <t>From risk to revenue retention</t>
        </is>
      </c>
    </row>
    <row r="30" ht="34.5" customHeight="1" s="70">
      <c r="A30" s="88" t="inlineStr">
        <is>
          <t>Lower handle time (CS)</t>
        </is>
      </c>
      <c r="B30" s="89" t="inlineStr">
        <is>
          <t>Higher CSAT → retention rate → revenue per customer</t>
        </is>
      </c>
      <c r="C30" s="89" t="inlineStr">
        <is>
          <t>From cost to LTV</t>
        </is>
      </c>
    </row>
    <row r="31" ht="23.25" customHeight="1" s="70">
      <c r="A31" s="86" t="inlineStr">
        <is>
          <t>Faster doc review (legal)</t>
        </is>
      </c>
      <c r="B31" s="87" t="inlineStr">
        <is>
          <t>Deal velocity → more deals closed</t>
        </is>
      </c>
      <c r="C31" s="87" t="inlineStr">
        <is>
          <t>From cost to deal flow</t>
        </is>
      </c>
    </row>
    <row r="32" ht="23.25" customHeight="1" s="70">
      <c r="A32" s="88" t="inlineStr">
        <is>
          <t>Manufacturing throughput +X%</t>
        </is>
      </c>
      <c r="B32" s="89" t="inlineStr">
        <is>
          <t>More units to sell at same fixed cost</t>
        </is>
      </c>
      <c r="C32" s="89" t="inlineStr">
        <is>
          <t>From cost to capacity-revenue</t>
        </is>
      </c>
    </row>
    <row r="33" ht="45.75" customHeight="1" s="70">
      <c r="A33" s="86" t="inlineStr">
        <is>
          <t>Less burnout (healthcare)</t>
        </is>
      </c>
      <c r="B33" s="87" t="inlineStr">
        <is>
          <t>One extra patient / two weeks × $250 avg revenue = +$6.5K/yr/MD</t>
        </is>
      </c>
      <c r="C33" s="87" t="inlineStr">
        <is>
          <t>From cost to volume revenue</t>
        </is>
      </c>
    </row>
    <row r="35" ht="84.75" customHeight="1" s="70">
      <c r="A35" s="90" t="inlineStr">
        <is>
          <t>Insight  |  Maciej's insight, formalised: 90% of measured AI value sits in cost-side metrics, yet pricing science shows buyers BUY on revenue-side arguments. This is the central commercial weakness of the current AI pricing narrative. Vendors who win charge for revenue-side reframes (capacity, deal velocity, LTV, time-to-market), not for raw cost displacement. 'Saves your CS team 14 hours/week' loses. 'Lets you serve 8% more customers without hiring' wins.</t>
        </is>
      </c>
    </row>
    <row r="36" ht="27.75" customHeight="1" s="70">
      <c r="A36" s="77" t="inlineStr">
        <is>
          <t>Source  |  Hinterhuber — Towards value-based pricing (PDF)  —  https://users.metu.edu.tr/mugan/Hinterhuber%202004%20value%20based%20pricing.pdf</t>
        </is>
      </c>
    </row>
    <row r="37" ht="27.75" customHeight="1" s="70">
      <c r="A37" s="77" t="inlineStr">
        <is>
          <t>Source  |  Anderson, Narus, Van Rossum — HBR 2006  —  https://hbr.org/2006/03/customer-value-propositions-in-business-markets</t>
        </is>
      </c>
    </row>
    <row r="38" ht="27.75" customHeight="1" s="70">
      <c r="A38" s="77" t="inlineStr">
        <is>
          <t>Source  |  Hinterhuber — Pricing research SOA (2021)  —  https://hinterhuber.scrdesign.com/wp-content/uploads/2022/04/Pricing-research-SAGE_2021.pdf</t>
        </is>
      </c>
    </row>
  </sheetData>
  <mergeCells count="6">
    <mergeCell ref="A35:H35"/>
    <mergeCell ref="A38:H38"/>
    <mergeCell ref="A2:H2"/>
    <mergeCell ref="A36:H36"/>
    <mergeCell ref="A1:H1"/>
    <mergeCell ref="A37:H37"/>
  </mergeCells>
  <hyperlinks>
    <hyperlink xmlns:r="http://schemas.openxmlformats.org/officeDocument/2006/relationships" ref="A36" display="Source  |  Hinterhuber — Towards value-based pricing (PDF)  —  https://users.metu.edu.tr/mugan/Hinterhuber%202004%20value%20based%20pricing.pdf" r:id="rId1"/>
    <hyperlink xmlns:r="http://schemas.openxmlformats.org/officeDocument/2006/relationships" ref="A37" display="Source  |  Anderson, Narus, Van Rossum — HBR 2006  —  https://hbr.org/2006/03/customer-value-propositions-in-business-markets" r:id="rId2"/>
    <hyperlink xmlns:r="http://schemas.openxmlformats.org/officeDocument/2006/relationships" ref="A38" display="Source  |  Hinterhuber — Pricing research SOA (2021)  —  https://hinterhuber.scrdesign.com/wp-content/uploads/2022/04/Pricing-research-SAGE_2021.pdf"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69" min="1" max="2"/>
    <col width="24" customWidth="1" style="69" min="3" max="3"/>
    <col width="14" customWidth="1" style="69" min="4" max="8"/>
  </cols>
  <sheetData>
    <row r="1" ht="31.5" customHeight="1" s="70">
      <c r="A1" s="78" t="inlineStr">
        <is>
          <t>VI03  |  Most AI vendor pricing pages still lead with COST-SIDE framing — a structural mismatch with how buyers buy</t>
        </is>
      </c>
    </row>
    <row r="2" ht="21.75" customHeight="1" s="70">
      <c r="A2" s="84" t="inlineStr">
        <is>
          <t>Where are AI vendors landing on the cost-vs-revenue framing question today?</t>
        </is>
      </c>
    </row>
    <row r="4" ht="15" customHeight="1" s="70">
      <c r="A4" s="79" t="inlineStr">
        <is>
          <t>Vendor</t>
        </is>
      </c>
      <c r="B4" s="79" t="inlineStr">
        <is>
          <t>Dominant value language</t>
        </is>
      </c>
      <c r="C4" s="79" t="inlineStr">
        <is>
          <t>Pricing unit</t>
        </is>
      </c>
      <c r="D4" s="79" t="inlineStr">
        <is>
          <t>Frame</t>
        </is>
      </c>
      <c r="E4" s="79" t="inlineStr">
        <is>
          <t>Note</t>
        </is>
      </c>
    </row>
    <row r="5" ht="23.25" customHeight="1" s="70">
      <c r="A5" s="86" t="inlineStr">
        <is>
          <t>Microsoft 365 Copilot</t>
        </is>
      </c>
      <c r="B5" s="87" t="inlineStr">
        <is>
          <t>'Save X hours / week'</t>
        </is>
      </c>
      <c r="C5" s="87" t="inlineStr">
        <is>
          <t>$30 / seat / mo</t>
        </is>
      </c>
      <c r="D5" s="116" t="inlineStr">
        <is>
          <t>COST</t>
        </is>
      </c>
      <c r="E5" s="87" t="inlineStr">
        <is>
          <t>Per-seat = no value coupling</t>
        </is>
      </c>
    </row>
    <row r="6" ht="23.25" customHeight="1" s="70">
      <c r="A6" s="88" t="inlineStr">
        <is>
          <t>Intercom Fin</t>
        </is>
      </c>
      <c r="B6" s="89" t="inlineStr">
        <is>
          <t>'Resolves customer issues end-to-end'</t>
        </is>
      </c>
      <c r="C6" s="89" t="inlineStr">
        <is>
          <t>$0.99 / resolution</t>
        </is>
      </c>
      <c r="D6" s="117" t="inlineStr">
        <is>
          <t>OUTCOME</t>
        </is>
      </c>
      <c r="E6" s="89" t="inlineStr">
        <is>
          <t>Resolution = clean unit</t>
        </is>
      </c>
    </row>
    <row r="7" ht="23.25" customHeight="1" s="70">
      <c r="A7" s="86" t="inlineStr">
        <is>
          <t>Cursor / Devin / Lovable</t>
        </is>
      </c>
      <c r="B7" s="87" t="inlineStr">
        <is>
          <t>'Build apps 10x faster'</t>
        </is>
      </c>
      <c r="C7" s="87" t="inlineStr">
        <is>
          <t>Credits / ACUs / tasks</t>
        </is>
      </c>
      <c r="D7" s="116" t="inlineStr">
        <is>
          <t>COST</t>
        </is>
      </c>
      <c r="E7" s="87" t="inlineStr">
        <is>
          <t>Speed = cost-side reframe</t>
        </is>
      </c>
    </row>
    <row r="8" ht="23.25" customHeight="1" s="70">
      <c r="A8" s="88" t="inlineStr">
        <is>
          <t>Salesforce Agentforce</t>
        </is>
      </c>
      <c r="B8" s="89" t="inlineStr">
        <is>
          <t>'Reduce support cost 17%'</t>
        </is>
      </c>
      <c r="C8" s="89" t="inlineStr">
        <is>
          <t>$2 / conversation</t>
        </is>
      </c>
      <c r="D8" s="116" t="inlineStr">
        <is>
          <t>COST</t>
        </is>
      </c>
      <c r="E8" s="89" t="inlineStr">
        <is>
          <t>Cost-side; pre-walkback</t>
        </is>
      </c>
    </row>
    <row r="9" ht="23.25" customHeight="1" s="70">
      <c r="A9" s="86" t="inlineStr">
        <is>
          <t>Harvey AI (legal)</t>
        </is>
      </c>
      <c r="B9" s="87" t="inlineStr">
        <is>
          <t>'Cut research time'</t>
        </is>
      </c>
      <c r="C9" s="87" t="inlineStr">
        <is>
          <t>Enterprise subscription</t>
        </is>
      </c>
      <c r="D9" s="116" t="inlineStr">
        <is>
          <t>COST</t>
        </is>
      </c>
      <c r="E9" s="87" t="inlineStr">
        <is>
          <t>Time-saving frame</t>
        </is>
      </c>
    </row>
    <row r="10" ht="23.25" customHeight="1" s="70">
      <c r="A10" s="88" t="inlineStr">
        <is>
          <t>Glean / Guru (knowledge)</t>
        </is>
      </c>
      <c r="B10" s="89" t="inlineStr">
        <is>
          <t>'Faster answers, less search'</t>
        </is>
      </c>
      <c r="C10" s="89" t="inlineStr">
        <is>
          <t>Per seat</t>
        </is>
      </c>
      <c r="D10" s="116" t="inlineStr">
        <is>
          <t>COST</t>
        </is>
      </c>
      <c r="E10" s="89" t="inlineStr">
        <is>
          <t>Time-saving frame</t>
        </is>
      </c>
    </row>
    <row r="11" ht="23.25" customHeight="1" s="70">
      <c r="A11" s="86" t="inlineStr">
        <is>
          <t>HubSpot AI add-on</t>
        </is>
      </c>
      <c r="B11" s="87" t="inlineStr">
        <is>
          <t>'More pipeline, faster reps'</t>
        </is>
      </c>
      <c r="C11" s="87" t="inlineStr">
        <is>
          <t>Tier-based</t>
        </is>
      </c>
      <c r="D11" s="117" t="inlineStr">
        <is>
          <t>MIXED</t>
        </is>
      </c>
      <c r="E11" s="87" t="inlineStr">
        <is>
          <t>Some revenue language</t>
        </is>
      </c>
    </row>
    <row r="12" ht="23.25" customHeight="1" s="70">
      <c r="A12" s="88" t="inlineStr">
        <is>
          <t>Gong (revenue intelligence)</t>
        </is>
      </c>
      <c r="B12" s="89" t="inlineStr">
        <is>
          <t>'Increase win rate'</t>
        </is>
      </c>
      <c r="C12" s="89" t="inlineStr">
        <is>
          <t>Per seat + enterprise</t>
        </is>
      </c>
      <c r="D12" s="118" t="inlineStr">
        <is>
          <t>REVENUE</t>
        </is>
      </c>
      <c r="E12" s="89" t="inlineStr">
        <is>
          <t>Direct revenue claim</t>
        </is>
      </c>
    </row>
    <row r="13" ht="23.25" customHeight="1" s="70">
      <c r="A13" s="86" t="inlineStr">
        <is>
          <t>Klaviyo AI</t>
        </is>
      </c>
      <c r="B13" s="87" t="inlineStr">
        <is>
          <t>'Increase email revenue'</t>
        </is>
      </c>
      <c r="C13" s="87" t="inlineStr">
        <is>
          <t>Usage based on contacts</t>
        </is>
      </c>
      <c r="D13" s="118" t="inlineStr">
        <is>
          <t>REVENUE</t>
        </is>
      </c>
      <c r="E13" s="87" t="inlineStr">
        <is>
          <t>Direct revenue claim</t>
        </is>
      </c>
    </row>
    <row r="14" ht="23.25" customHeight="1" s="70">
      <c r="A14" s="88" t="inlineStr">
        <is>
          <t>Most B2B SaaS AI features</t>
        </is>
      </c>
      <c r="B14" s="89" t="inlineStr">
        <is>
          <t>'Productivity boost'</t>
        </is>
      </c>
      <c r="C14" s="89" t="inlineStr">
        <is>
          <t>Add-on to seats</t>
        </is>
      </c>
      <c r="D14" s="116" t="inlineStr">
        <is>
          <t>COST</t>
        </is>
      </c>
      <c r="E14" s="89" t="inlineStr">
        <is>
          <t>Generic productivity</t>
        </is>
      </c>
    </row>
    <row r="16" ht="15" customHeight="1" s="70">
      <c r="A16" s="85" t="inlineStr">
        <is>
          <t>Chart data — value framing distribution in AI vendor pricing pages (sample)</t>
        </is>
      </c>
    </row>
    <row r="17" ht="15" customHeight="1" s="70">
      <c r="A17" s="79" t="inlineStr">
        <is>
          <t>Framing type</t>
        </is>
      </c>
      <c r="B17" s="79" t="inlineStr">
        <is>
          <t>% of sampled vendors</t>
        </is>
      </c>
    </row>
    <row r="18" ht="15" customHeight="1" s="70">
      <c r="A18" s="86" t="inlineStr">
        <is>
          <t>COST-side framing</t>
        </is>
      </c>
      <c r="B18" s="87" t="n">
        <v>60</v>
      </c>
    </row>
    <row r="19" ht="15" customHeight="1" s="70">
      <c r="A19" s="88" t="inlineStr">
        <is>
          <t>OUTCOME framing</t>
        </is>
      </c>
      <c r="B19" s="89" t="n">
        <v>15</v>
      </c>
    </row>
    <row r="20" ht="15" customHeight="1" s="70">
      <c r="A20" s="86" t="inlineStr">
        <is>
          <t>REVENUE-side framing</t>
        </is>
      </c>
      <c r="B20" s="87" t="n">
        <v>15</v>
      </c>
    </row>
    <row r="21" ht="15" customHeight="1" s="70">
      <c r="A21" s="88" t="inlineStr">
        <is>
          <t>MIXED</t>
        </is>
      </c>
      <c r="B21" s="89" t="n">
        <v>10</v>
      </c>
    </row>
    <row r="22" ht="79.5" customHeight="1" s="70">
      <c r="A22" s="90" t="inlineStr">
        <is>
          <t>Insight  |  60% of AI vendors are leading with COST-side framing — the weakest possible buyer argument. The exceptions cluster in sectors with clean revenue attribution (sales tech: Gong; marketing: Klaviyo) or with outcome-priced units (Intercom Fin). For most AI SaaS — productivity assistants, coding copilots, support automation — the pricing-page rewrite is the same: move from 'saves you time' to 'gives you capacity for X more revenue-bearing outcomes per period'.</t>
        </is>
      </c>
    </row>
    <row r="23" ht="27.75" customHeight="1" s="70">
      <c r="A23" s="77" t="inlineStr">
        <is>
          <t xml:space="preserve">Source  |  Sample synthesis from public pricing pages, May 2026  —  </t>
        </is>
      </c>
    </row>
    <row r="24" ht="27.75" customHeight="1" s="70">
      <c r="A24" s="77" t="inlineStr">
        <is>
          <t>Source  |  Intercom Fin pricing  —  https://fin.ai/pricing</t>
        </is>
      </c>
    </row>
    <row r="25" ht="27.75" customHeight="1" s="70">
      <c r="A25" s="77" t="inlineStr">
        <is>
          <t>Source  |  GTM newsletter — Intercom outcome pricing case  —  https://thegtmnewsletter.substack.com/p/gtm-178-intercom-ai-agent-outcome-based-pricing-archana-agrawal</t>
        </is>
      </c>
    </row>
  </sheetData>
  <mergeCells count="6">
    <mergeCell ref="A25:H25"/>
    <mergeCell ref="A24:H24"/>
    <mergeCell ref="A2:H2"/>
    <mergeCell ref="A1:H1"/>
    <mergeCell ref="A23:H23"/>
    <mergeCell ref="A22:H22"/>
  </mergeCells>
  <hyperlinks>
    <hyperlink xmlns:r="http://schemas.openxmlformats.org/officeDocument/2006/relationships" ref="A24" display="Source  |  Intercom Fin pricing  —  https://fin.ai/pricing" r:id="rId1"/>
    <hyperlink xmlns:r="http://schemas.openxmlformats.org/officeDocument/2006/relationships" ref="A25" display="Source  |  GTM newsletter — Intercom outcome pricing case  —  https://thegtmnewsletter.substack.com/p/gtm-178-intercom-ai-agent-outcome-based-pricing-archana-agrawal"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xl/worksheets/sheet62.xml><?xml version="1.0" encoding="utf-8"?>
<worksheet xmlns="http://schemas.openxmlformats.org/spreadsheetml/2006/main">
  <sheetPr filterMode="0">
    <outlinePr summaryBelow="1" summaryRight="1"/>
    <pageSetUpPr fitToPage="0"/>
  </sheetPr>
  <dimension ref="A1:H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6" customWidth="1" style="69" min="1" max="1"/>
    <col width="22" customWidth="1" style="69" min="2" max="4"/>
    <col width="18" customWidth="1" style="69" min="5" max="5"/>
    <col width="14" customWidth="1" style="69" min="6" max="8"/>
  </cols>
  <sheetData>
    <row r="1" ht="31.5" customHeight="1" s="70">
      <c r="A1" s="78" t="inlineStr">
        <is>
          <t>PR01  |  Replaceability × Pricing matrix — the more AI replaces human work, the more pricing should shift to outcome/usage</t>
        </is>
      </c>
    </row>
    <row r="2" ht="21.75" customHeight="1" s="70">
      <c r="A2" s="84" t="inlineStr">
        <is>
          <t>Maciej's pricing axiom: high replaceability → outcome pricing; low replaceability → seat/credit pricing</t>
        </is>
      </c>
    </row>
    <row r="4" ht="79.5" customHeight="1" s="70">
      <c r="A4" s="76" t="inlineStr">
        <is>
          <t>Axiom  |  The pricing model should scale with how much human work AI actually replaces in a workflow. Sectors with HIGH replaceability (clean outcome attribution, low complexity) move toward outcome-based or gainsharing pricing. Sectors with LOW replaceability (high judgment, jagged frontier) stay on seat-based or credit-based pricing. This is the inverse of the standard 'all SaaS goes outcome' narrative — replaceability gates the model choice.</t>
        </is>
      </c>
    </row>
    <row r="6" ht="23.25" customHeight="1" s="70">
      <c r="A6" s="79" t="inlineStr">
        <is>
          <t>Replaceability tier</t>
        </is>
      </c>
      <c r="B6" s="79" t="inlineStr">
        <is>
          <t>Definition</t>
        </is>
      </c>
      <c r="C6" s="79" t="inlineStr">
        <is>
          <t>Example sectors</t>
        </is>
      </c>
      <c r="D6" s="79" t="inlineStr">
        <is>
          <t>Primary pricing model</t>
        </is>
      </c>
      <c r="E6" s="79" t="inlineStr">
        <is>
          <t>Why</t>
        </is>
      </c>
      <c r="F6" s="79" t="inlineStr">
        <is>
          <t>Buyer acceptance</t>
        </is>
      </c>
    </row>
    <row r="7" ht="45.75" customHeight="1" s="70">
      <c r="A7" s="147" t="inlineStr">
        <is>
          <t>HIGH replaceability</t>
        </is>
      </c>
      <c r="B7" s="87" t="inlineStr">
        <is>
          <t>Routine, repetitive, attributable outcome (resolution, ticket, document)</t>
        </is>
      </c>
      <c r="C7" s="87" t="inlineStr">
        <is>
          <t>Tier-1 customer support; basic document review; data entry; FAQ answering</t>
        </is>
      </c>
      <c r="D7" s="87" t="inlineStr">
        <is>
          <t>Outcome-based (per resolution / per task)</t>
        </is>
      </c>
      <c r="E7" s="87" t="inlineStr">
        <is>
          <t>Vendor can guarantee outcome; buyer pays only on success</t>
        </is>
      </c>
      <c r="F7" s="87" t="inlineStr">
        <is>
          <t>Conditional — clean unit needed (ST08: 17% prefer)</t>
        </is>
      </c>
    </row>
    <row r="8" ht="45.75" customHeight="1" s="70">
      <c r="A8" s="147" t="inlineStr">
        <is>
          <t>MEDIUM-HIGH replaceability</t>
        </is>
      </c>
      <c r="B8" s="89" t="inlineStr">
        <is>
          <t>Variable effort, partially automatable, mixed outcomes</t>
        </is>
      </c>
      <c r="C8" s="89" t="inlineStr">
        <is>
          <t>Coding tasks; legal doc extraction; sales SDR cadences; marketing copy production</t>
        </is>
      </c>
      <c r="D8" s="89" t="inlineStr">
        <is>
          <t>Credit / effort / consumption-based</t>
        </is>
      </c>
      <c r="E8" s="89" t="inlineStr">
        <is>
          <t>Variable work needs variable price; protects both sides from extremes</t>
        </is>
      </c>
      <c r="F8" s="89" t="inlineStr">
        <is>
          <t>STRONG (ST08: 55% prefer consumption)</t>
        </is>
      </c>
    </row>
    <row r="9" ht="57" customHeight="1" s="70">
      <c r="A9" s="148" t="inlineStr">
        <is>
          <t>MEDIUM replaceability</t>
        </is>
      </c>
      <c r="B9" s="87" t="inlineStr">
        <is>
          <t>Hybrid human-AI workflow; AI augments majority of tasks</t>
        </is>
      </c>
      <c r="C9" s="87" t="inlineStr">
        <is>
          <t>Sales (closing); marketing strategy; consulting analysis; healthcare admin</t>
        </is>
      </c>
      <c r="D9" s="87" t="inlineStr">
        <is>
          <t>Hybrid: base seat + usage / outcome bonus</t>
        </is>
      </c>
      <c r="E9" s="87" t="inlineStr">
        <is>
          <t>Captures both predictability and value scaling</t>
        </is>
      </c>
      <c r="F9" s="87" t="inlineStr">
        <is>
          <t>STRONG (Bessemer ~31% hybrid; ST08 platform 43%)</t>
        </is>
      </c>
    </row>
    <row r="10" ht="45.75" customHeight="1" s="70">
      <c r="A10" s="148" t="inlineStr">
        <is>
          <t>LOW-MEDIUM replaceability</t>
        </is>
      </c>
      <c r="B10" s="89" t="inlineStr">
        <is>
          <t>Knowledge work with significant judgment; AI assists but doesn't replace</t>
        </is>
      </c>
      <c r="C10" s="89" t="inlineStr">
        <is>
          <t>Strategy consulting; legal advisory; senior engineering; clinical decision</t>
        </is>
      </c>
      <c r="D10" s="89" t="inlineStr">
        <is>
          <t>Per-seat (with usage cap)</t>
        </is>
      </c>
      <c r="E10" s="89" t="inlineStr">
        <is>
          <t>Value comes from access, not units; predictability</t>
        </is>
      </c>
      <c r="F10" s="89" t="inlineStr">
        <is>
          <t>STRONG (ST08: 37% prefer license)</t>
        </is>
      </c>
    </row>
    <row r="11" ht="45.75" customHeight="1" s="70">
      <c r="A11" s="149" t="inlineStr">
        <is>
          <t>LOW replaceability</t>
        </is>
      </c>
      <c r="B11" s="87" t="inlineStr">
        <is>
          <t>High-judgment, regulated, mission-critical, scarce expertise</t>
        </is>
      </c>
      <c r="C11" s="87" t="inlineStr">
        <is>
          <t>Senior partner work; specialist medicine; M&amp;A advisory; clinical trial design</t>
        </is>
      </c>
      <c r="D11" s="87" t="inlineStr">
        <is>
          <t>Premium per-seat OR relationship/retainer</t>
        </is>
      </c>
      <c r="E11" s="87" t="inlineStr">
        <is>
          <t>AI as augmentation tool; price reflects scarce expertise</t>
        </is>
      </c>
      <c r="F11" s="87" t="inlineStr">
        <is>
          <t>DEFAULT (highest predictability)</t>
        </is>
      </c>
    </row>
    <row r="13" ht="15" customHeight="1" s="70">
      <c r="A13" s="85" t="inlineStr">
        <is>
          <t>Decision matrix — pick pricing model from replaceability AND revenue-attribution</t>
        </is>
      </c>
    </row>
    <row r="14" ht="23.25" customHeight="1" s="70">
      <c r="A14" s="79" t="inlineStr">
        <is>
          <t>Replaceability ↓ / Revenue-attribution →</t>
        </is>
      </c>
      <c r="B14" s="79" t="inlineStr">
        <is>
          <t>HIGH attribution (clean)</t>
        </is>
      </c>
      <c r="C14" s="79" t="inlineStr">
        <is>
          <t>MEDIUM attribution</t>
        </is>
      </c>
      <c r="D14" s="79" t="inlineStr">
        <is>
          <t>LOW attribution (multi-driver)</t>
        </is>
      </c>
    </row>
    <row r="15" ht="23.25" customHeight="1" s="70">
      <c r="A15" s="86" t="inlineStr">
        <is>
          <t>HIGH replaceability</t>
        </is>
      </c>
      <c r="B15" s="87" t="inlineStr">
        <is>
          <t>Outcome-based (best fit)</t>
        </is>
      </c>
      <c r="C15" s="87" t="inlineStr">
        <is>
          <t>Effort / credit + outcome bonus</t>
        </is>
      </c>
      <c r="D15" s="87" t="inlineStr">
        <is>
          <t>Effort / credit</t>
        </is>
      </c>
    </row>
    <row r="16" ht="15" customHeight="1" s="70">
      <c r="A16" s="88" t="inlineStr">
        <is>
          <t>MEDIUM replaceability</t>
        </is>
      </c>
      <c r="B16" s="89" t="inlineStr">
        <is>
          <t>Hybrid base + outcome</t>
        </is>
      </c>
      <c r="C16" s="89" t="inlineStr">
        <is>
          <t>Hybrid base + usage</t>
        </is>
      </c>
      <c r="D16" s="89" t="inlineStr">
        <is>
          <t>Per-seat + usage cap</t>
        </is>
      </c>
    </row>
    <row r="17" ht="15" customHeight="1" s="70">
      <c r="A17" s="86" t="inlineStr">
        <is>
          <t>LOW replaceability</t>
        </is>
      </c>
      <c r="B17" s="87" t="inlineStr">
        <is>
          <t>Premium per-seat + bonus</t>
        </is>
      </c>
      <c r="C17" s="87" t="inlineStr">
        <is>
          <t>Premium per-seat</t>
        </is>
      </c>
      <c r="D17" s="87" t="inlineStr">
        <is>
          <t>Per-seat / retainer</t>
        </is>
      </c>
    </row>
    <row r="19" ht="69.75" customHeight="1" s="70">
      <c r="A19" s="90" t="inlineStr">
        <is>
          <t>Insight  |  Two axes drive the pricing-model choice: (1) how replaceable the work is by AI, (2) how attributable the outcome is to the AI. Outcome-based pricing requires BOTH high replaceability AND clean attribution — which is why Intercom Fin (CS tier-1 resolutions) is the clean case and most AI SaaS isn't. The default for most workflows in 2026 is hybrid (base + usage), not pure outcome.</t>
        </is>
      </c>
    </row>
    <row r="20" ht="27.75" customHeight="1" s="70">
      <c r="A20" s="77" t="inlineStr">
        <is>
          <t xml:space="preserve">Source  |  Maciej Wilczyński (Valueships) — replaceability axiom (this session)  —  </t>
        </is>
      </c>
    </row>
    <row r="21" ht="27.75" customHeight="1" s="70">
      <c r="A21" s="77" t="inlineStr">
        <is>
          <t>Source  |  Statista 1620734 — agentic AI pricing preferences  —  https://www.statista.com/statistics/1620734/adoption-of-pricing-models-for-agentic-ai-tools/</t>
        </is>
      </c>
    </row>
    <row r="22" ht="27.75" customHeight="1" s="70">
      <c r="A22" s="77" t="inlineStr">
        <is>
          <t>Source  |  Bessemer — AI pricing playbook  —  https://www.bvp.com/atlas/the-ai-pricing-and-monetization-playbook</t>
        </is>
      </c>
    </row>
    <row r="23" ht="27.75" customHeight="1" s="70">
      <c r="A23" s="77" t="inlineStr">
        <is>
          <t>Source  |  Monetizely — 2026 SaaS/AI/Agentic guide  —  https://www.getmonetizely.com/blogs/the-2026-guide-to-saas-ai-and-agentic-pricing-models</t>
        </is>
      </c>
    </row>
  </sheetData>
  <mergeCells count="8">
    <mergeCell ref="A4:H4"/>
    <mergeCell ref="A21:H21"/>
    <mergeCell ref="A20:H20"/>
    <mergeCell ref="A2:H2"/>
    <mergeCell ref="A19:H19"/>
    <mergeCell ref="A1:H1"/>
    <mergeCell ref="A23:H23"/>
    <mergeCell ref="A22:H22"/>
  </mergeCells>
  <hyperlinks>
    <hyperlink xmlns:r="http://schemas.openxmlformats.org/officeDocument/2006/relationships" ref="A21" display="Source  |  Statista 1620734 — agentic AI pricing preferences  —  https://www.statista.com/statistics/1620734/adoption-of-pricing-models-for-agentic-ai-tools/" r:id="rId1"/>
    <hyperlink xmlns:r="http://schemas.openxmlformats.org/officeDocument/2006/relationships" ref="A22" display="Source  |  Bessemer — AI pricing playbook  —  https://www.bvp.com/atlas/the-ai-pricing-and-monetization-playbook" r:id="rId2"/>
    <hyperlink xmlns:r="http://schemas.openxmlformats.org/officeDocument/2006/relationships" ref="A23" display="Source  |  Monetizely — 2026 SaaS/AI/Agentic guide  —  https://www.getmonetizely.com/blogs/the-2026-guide-to-saas-ai-and-agentic-pricing-models" r:id="rId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3.xml><?xml version="1.0" encoding="utf-8"?>
<worksheet xmlns="http://schemas.openxmlformats.org/spreadsheetml/2006/main">
  <sheetPr filterMode="0">
    <outlinePr summaryBelow="1" summaryRight="1"/>
    <pageSetUpPr fitToPage="0"/>
  </sheetPr>
  <dimension ref="A1:H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69" min="1" max="1"/>
    <col width="16" customWidth="1" style="69" min="2" max="2"/>
    <col width="18" customWidth="1" style="69" min="3" max="3"/>
    <col width="16" customWidth="1" style="69" min="4" max="4"/>
    <col width="18" customWidth="1" style="69" min="5" max="6"/>
    <col width="14" customWidth="1" style="69" min="7" max="8"/>
  </cols>
  <sheetData>
    <row r="1" ht="31.5" customHeight="1" s="70">
      <c r="A1" s="78" t="inlineStr">
        <is>
          <t>PR02  |  SaaS pricing implications by vertical — outcome wins in CS / Legal back office; seat-based survives in regulated / specialist verticals</t>
        </is>
      </c>
    </row>
    <row r="2" ht="21.75" customHeight="1" s="70">
      <c r="A2" s="84" t="inlineStr">
        <is>
          <t>What pricing model should a SaaS application use, given its industry's AI replaceability profile?</t>
        </is>
      </c>
    </row>
    <row r="4" ht="23.25" customHeight="1" s="70">
      <c r="A4" s="79" t="inlineStr">
        <is>
          <t>SaaS vertical</t>
        </is>
      </c>
      <c r="B4" s="79" t="inlineStr">
        <is>
          <t>Sector replaceability</t>
        </is>
      </c>
      <c r="C4" s="79" t="inlineStr">
        <is>
          <t>Revenue attribution</t>
        </is>
      </c>
      <c r="D4" s="79" t="inlineStr">
        <is>
          <t>Recommended primary model</t>
        </is>
      </c>
      <c r="E4" s="79" t="inlineStr">
        <is>
          <t>Recommended secondary / hybrid</t>
        </is>
      </c>
      <c r="F4" s="79" t="inlineStr">
        <is>
          <t>Avoid</t>
        </is>
      </c>
      <c r="G4" s="79" t="inlineStr">
        <is>
          <t>Reference case</t>
        </is>
      </c>
    </row>
    <row r="5" ht="23.25" customHeight="1" s="70">
      <c r="A5" s="86" t="inlineStr">
        <is>
          <t>Customer Support SaaS</t>
        </is>
      </c>
      <c r="B5" s="87" t="inlineStr">
        <is>
          <t>HIGH</t>
        </is>
      </c>
      <c r="C5" s="87" t="inlineStr">
        <is>
          <t>HIGH (resolutions)</t>
        </is>
      </c>
      <c r="D5" s="87" t="inlineStr">
        <is>
          <t>Outcome-based per resolution</t>
        </is>
      </c>
      <c r="E5" s="87" t="inlineStr">
        <is>
          <t>Hybrid base + outcome</t>
        </is>
      </c>
      <c r="F5" s="87" t="inlineStr">
        <is>
          <t>Pure per-seat</t>
        </is>
      </c>
      <c r="G5" s="87" t="inlineStr">
        <is>
          <t>Intercom Fin</t>
        </is>
      </c>
    </row>
    <row r="6" ht="23.25" customHeight="1" s="70">
      <c r="A6" s="88" t="inlineStr">
        <is>
          <t>Sales Engagement / SDR SaaS</t>
        </is>
      </c>
      <c r="B6" s="89" t="inlineStr">
        <is>
          <t>MED-HIGH</t>
        </is>
      </c>
      <c r="C6" s="89" t="inlineStr">
        <is>
          <t>MEDIUM (attribution noisy)</t>
        </is>
      </c>
      <c r="D6" s="89" t="inlineStr">
        <is>
          <t>Credit / effort + outcome bonus</t>
        </is>
      </c>
      <c r="E6" s="89" t="inlineStr">
        <is>
          <t>Hybrid base + usage + win-bonus</t>
        </is>
      </c>
      <c r="F6" s="89" t="inlineStr">
        <is>
          <t>Pure outcome (attribution fails)</t>
        </is>
      </c>
      <c r="G6" s="89" t="inlineStr">
        <is>
          <t>Gong / Outreach</t>
        </is>
      </c>
    </row>
    <row r="7" ht="23.25" customHeight="1" s="70">
      <c r="A7" s="86" t="inlineStr">
        <is>
          <t>Marketing Creative SaaS</t>
        </is>
      </c>
      <c r="B7" s="87" t="inlineStr">
        <is>
          <t>MED-HIGH</t>
        </is>
      </c>
      <c r="C7" s="87" t="inlineStr">
        <is>
          <t>LOW-MED (multi-driver)</t>
        </is>
      </c>
      <c r="D7" s="87" t="inlineStr">
        <is>
          <t>Credit / effort-based</t>
        </is>
      </c>
      <c r="E7" s="87" t="inlineStr">
        <is>
          <t>Hybrid base + credits</t>
        </is>
      </c>
      <c r="F7" s="87" t="inlineStr">
        <is>
          <t>Pure outcome</t>
        </is>
      </c>
      <c r="G7" s="87" t="inlineStr">
        <is>
          <t>Jasper / Copy.ai</t>
        </is>
      </c>
    </row>
    <row r="8" ht="23.25" customHeight="1" s="70">
      <c r="A8" s="88" t="inlineStr">
        <is>
          <t>Legal Doc Review SaaS</t>
        </is>
      </c>
      <c r="B8" s="89" t="inlineStr">
        <is>
          <t>HIGH (document tasks)</t>
        </is>
      </c>
      <c r="C8" s="89" t="inlineStr">
        <is>
          <t>MEDIUM (hours saved)</t>
        </is>
      </c>
      <c r="D8" s="89" t="inlineStr">
        <is>
          <t>Per-document / per-matter</t>
        </is>
      </c>
      <c r="E8" s="89" t="inlineStr">
        <is>
          <t>Hybrid base + per-doc</t>
        </is>
      </c>
      <c r="F8" s="89" t="inlineStr">
        <is>
          <t>Pure per-seat</t>
        </is>
      </c>
      <c r="G8" s="89" t="inlineStr">
        <is>
          <t>Harvey / Hebbia</t>
        </is>
      </c>
    </row>
    <row r="9" ht="23.25" customHeight="1" s="70">
      <c r="A9" s="86" t="inlineStr">
        <is>
          <t>Legal Advisory SaaS</t>
        </is>
      </c>
      <c r="B9" s="87" t="inlineStr">
        <is>
          <t>LOW</t>
        </is>
      </c>
      <c r="C9" s="87" t="inlineStr">
        <is>
          <t>LOW</t>
        </is>
      </c>
      <c r="D9" s="87" t="inlineStr">
        <is>
          <t>Premium per-seat + retainer</t>
        </is>
      </c>
      <c r="E9" s="87" t="inlineStr">
        <is>
          <t>Per-seat + project bonus</t>
        </is>
      </c>
      <c r="F9" s="87" t="inlineStr">
        <is>
          <t>Outcome (no clean unit)</t>
        </is>
      </c>
      <c r="G9" s="87" t="inlineStr">
        <is>
          <t>Enterprise legal tools</t>
        </is>
      </c>
    </row>
    <row r="10" ht="23.25" customHeight="1" s="70">
      <c r="A10" s="88" t="inlineStr">
        <is>
          <t>Healthcare Clinical SaaS</t>
        </is>
      </c>
      <c r="B10" s="89" t="inlineStr">
        <is>
          <t>MED (regulated)</t>
        </is>
      </c>
      <c r="C10" s="89" t="inlineStr">
        <is>
          <t>MED (capacity-attributable)</t>
        </is>
      </c>
      <c r="D10" s="89" t="inlineStr">
        <is>
          <t>Per-clinician seat + outcome</t>
        </is>
      </c>
      <c r="E10" s="89" t="inlineStr">
        <is>
          <t>Per-encounter pricing</t>
        </is>
      </c>
      <c r="F10" s="89" t="inlineStr">
        <is>
          <t>Pure outcome (liability)</t>
        </is>
      </c>
      <c r="G10" s="89" t="inlineStr">
        <is>
          <t>Abridge / Suki / Nuance DAX</t>
        </is>
      </c>
    </row>
    <row r="11" ht="23.25" customHeight="1" s="70">
      <c r="A11" s="86" t="inlineStr">
        <is>
          <t>Finance Back-office SaaS</t>
        </is>
      </c>
      <c r="B11" s="87" t="inlineStr">
        <is>
          <t>HIGH</t>
        </is>
      </c>
      <c r="C11" s="87" t="inlineStr">
        <is>
          <t>HIGH (tasks / claims)</t>
        </is>
      </c>
      <c r="D11" s="87" t="inlineStr">
        <is>
          <t>Per-transaction or gainsharing</t>
        </is>
      </c>
      <c r="E11" s="87" t="inlineStr">
        <is>
          <t>Hybrid base + per-claim</t>
        </is>
      </c>
      <c r="F11" s="87" t="inlineStr">
        <is>
          <t>Pure per-seat</t>
        </is>
      </c>
      <c r="G11" s="87" t="inlineStr">
        <is>
          <t>Brex / Vic.ai / Eilla</t>
        </is>
      </c>
    </row>
    <row r="12" ht="23.25" customHeight="1" s="70">
      <c r="A12" s="88" t="inlineStr">
        <is>
          <t>Coding / Dev SaaS</t>
        </is>
      </c>
      <c r="B12" s="89" t="inlineStr">
        <is>
          <t>MED-HIGH</t>
        </is>
      </c>
      <c r="C12" s="89" t="inlineStr">
        <is>
          <t>MEDIUM (effort-attributable)</t>
        </is>
      </c>
      <c r="D12" s="89" t="inlineStr">
        <is>
          <t>Effort / ACU / credit</t>
        </is>
      </c>
      <c r="E12" s="89" t="inlineStr">
        <is>
          <t>Hybrid base + credits</t>
        </is>
      </c>
      <c r="F12" s="89" t="inlineStr">
        <is>
          <t>Pure per-token</t>
        </is>
      </c>
      <c r="G12" s="89" t="inlineStr">
        <is>
          <t>Cursor / Devin / Replit</t>
        </is>
      </c>
    </row>
    <row r="13" ht="23.25" customHeight="1" s="70">
      <c r="A13" s="86" t="inlineStr">
        <is>
          <t>Productivity assistant SaaS</t>
        </is>
      </c>
      <c r="B13" s="87" t="inlineStr">
        <is>
          <t>LOW-MED</t>
        </is>
      </c>
      <c r="C13" s="87" t="inlineStr">
        <is>
          <t>LOW</t>
        </is>
      </c>
      <c r="D13" s="87" t="inlineStr">
        <is>
          <t>Per-seat with usage cap</t>
        </is>
      </c>
      <c r="E13" s="87" t="inlineStr">
        <is>
          <t>Hybrid base + premium tier</t>
        </is>
      </c>
      <c r="F13" s="87" t="inlineStr">
        <is>
          <t>Pure outcome</t>
        </is>
      </c>
      <c r="G13" s="87" t="inlineStr">
        <is>
          <t>MS 365 Copilot / Google Duet</t>
        </is>
      </c>
    </row>
    <row r="14" ht="23.25" customHeight="1" s="70">
      <c r="A14" s="88" t="inlineStr">
        <is>
          <t>Manufacturing / Industrial SaaS</t>
        </is>
      </c>
      <c r="B14" s="89" t="inlineStr">
        <is>
          <t>MED (process-bound)</t>
        </is>
      </c>
      <c r="C14" s="89" t="inlineStr">
        <is>
          <t>HIGH (yield)</t>
        </is>
      </c>
      <c r="D14" s="89" t="inlineStr">
        <is>
          <t>Gainsharing (% of yield gain)</t>
        </is>
      </c>
      <c r="E14" s="89" t="inlineStr">
        <is>
          <t>Subscription + outcome bonus</t>
        </is>
      </c>
      <c r="F14" s="89" t="inlineStr">
        <is>
          <t>Per-seat (irrelevant)</t>
        </is>
      </c>
      <c r="G14" s="89" t="inlineStr">
        <is>
          <t>Tulip / Augury / Uptake</t>
        </is>
      </c>
    </row>
    <row r="15" ht="23.25" customHeight="1" s="70">
      <c r="A15" s="86" t="inlineStr">
        <is>
          <t>Construction / AEC SaaS</t>
        </is>
      </c>
      <c r="B15" s="87" t="inlineStr">
        <is>
          <t>LOW-MED</t>
        </is>
      </c>
      <c r="C15" s="87" t="inlineStr">
        <is>
          <t>LOW (multi-driver)</t>
        </is>
      </c>
      <c r="D15" s="87" t="inlineStr">
        <is>
          <t>Per-seat / per-project</t>
        </is>
      </c>
      <c r="E15" s="87" t="inlineStr">
        <is>
          <t>Hybrid base + project bonus</t>
        </is>
      </c>
      <c r="F15" s="87" t="inlineStr">
        <is>
          <t>Pure outcome</t>
        </is>
      </c>
      <c r="G15" s="87" t="inlineStr">
        <is>
          <t>Autodesk / Procore</t>
        </is>
      </c>
    </row>
    <row r="16" ht="34.5" customHeight="1" s="70">
      <c r="A16" s="88" t="inlineStr">
        <is>
          <t>Education SaaS</t>
        </is>
      </c>
      <c r="B16" s="89" t="inlineStr">
        <is>
          <t>LOW</t>
        </is>
      </c>
      <c r="C16" s="89" t="inlineStr">
        <is>
          <t>LOW</t>
        </is>
      </c>
      <c r="D16" s="89" t="inlineStr">
        <is>
          <t>Per-seat (per-student / per-teacher)</t>
        </is>
      </c>
      <c r="E16" s="89" t="inlineStr">
        <is>
          <t>Volume tier</t>
        </is>
      </c>
      <c r="F16" s="89" t="inlineStr">
        <is>
          <t>Pure outcome (learning is slow)</t>
        </is>
      </c>
      <c r="G16" s="89" t="inlineStr">
        <is>
          <t>Khan Academy / Duolingo</t>
        </is>
      </c>
    </row>
    <row r="17" ht="34.5" customHeight="1" s="70">
      <c r="A17" s="86" t="inlineStr">
        <is>
          <t>Government / Public sector SaaS</t>
        </is>
      </c>
      <c r="B17" s="87" t="inlineStr">
        <is>
          <t>MED-LOW (procurement constraint)</t>
        </is>
      </c>
      <c r="C17" s="87" t="inlineStr">
        <is>
          <t>LOW</t>
        </is>
      </c>
      <c r="D17" s="87" t="inlineStr">
        <is>
          <t>Per-seat with volume tier</t>
        </is>
      </c>
      <c r="E17" s="87" t="inlineStr">
        <is>
          <t>Subscription + outcome on narrow KPIs</t>
        </is>
      </c>
      <c r="F17" s="87" t="inlineStr">
        <is>
          <t>Outcome (procurement won't accept)</t>
        </is>
      </c>
      <c r="G17" s="87" t="inlineStr">
        <is>
          <t>Palantir / Govtech vendors</t>
        </is>
      </c>
    </row>
    <row r="19" ht="15" customHeight="1" s="70">
      <c r="A19" s="85" t="inlineStr">
        <is>
          <t>Quick decision tree for SaaS pricing strategy</t>
        </is>
      </c>
    </row>
    <row r="20" ht="15" customHeight="1" s="70">
      <c r="A20" s="79" t="inlineStr">
        <is>
          <t>Step</t>
        </is>
      </c>
      <c r="B20" s="79" t="inlineStr">
        <is>
          <t>Question</t>
        </is>
      </c>
      <c r="C20" s="79" t="inlineStr">
        <is>
          <t>Decision rule</t>
        </is>
      </c>
    </row>
    <row r="21" ht="45.75" customHeight="1" s="70">
      <c r="A21" s="86" t="inlineStr">
        <is>
          <t>Step 1 — Replaceability check</t>
        </is>
      </c>
      <c r="B21" s="87" t="inlineStr">
        <is>
          <t>Is AI replacing &gt;50% of the underlying human task?</t>
        </is>
      </c>
      <c r="C21" s="87" t="inlineStr">
        <is>
          <t>If YES → consider outcome / credit. If NO → seat-based.</t>
        </is>
      </c>
    </row>
    <row r="22" ht="45.75" customHeight="1" s="70">
      <c r="A22" s="88" t="inlineStr">
        <is>
          <t>Step 2 — Attribution check</t>
        </is>
      </c>
      <c r="B22" s="89" t="inlineStr">
        <is>
          <t>Can a single outcome unit be cleanly attributed to the product?</t>
        </is>
      </c>
      <c r="C22" s="89" t="inlineStr">
        <is>
          <t>If YES → outcome-eligible. If NO → effort / credit.</t>
        </is>
      </c>
    </row>
    <row r="23" ht="45.75" customHeight="1" s="70">
      <c r="A23" s="86" t="inlineStr">
        <is>
          <t>Step 3 — Buyer-preference check</t>
        </is>
      </c>
      <c r="B23" s="87" t="inlineStr">
        <is>
          <t>Is the buyer mature enough to accept variable pricing?</t>
        </is>
      </c>
      <c r="C23" s="87" t="inlineStr">
        <is>
          <t>If NO → start with seat, migrate to hybrid in year 2.</t>
        </is>
      </c>
    </row>
    <row r="24" ht="34.5" customHeight="1" s="70">
      <c r="A24" s="88" t="inlineStr">
        <is>
          <t>Step 4 — Risk check</t>
        </is>
      </c>
      <c r="B24" s="89" t="inlineStr">
        <is>
          <t>Is there regulatory liability or critical-systems risk?</t>
        </is>
      </c>
      <c r="C24" s="89" t="inlineStr">
        <is>
          <t>If YES → premium per-seat + SLA, not outcome.</t>
        </is>
      </c>
    </row>
    <row r="25" ht="45.75" customHeight="1" s="70">
      <c r="A25" s="86" t="inlineStr">
        <is>
          <t>Step 5 — Revenue-frame check</t>
        </is>
      </c>
      <c r="B25" s="87" t="inlineStr">
        <is>
          <t>Can you reframe value as revenue capacity (not cost saving)?</t>
        </is>
      </c>
      <c r="C25" s="87" t="inlineStr">
        <is>
          <t>If YES → pricing power higher; if NO → expect resistance.</t>
        </is>
      </c>
    </row>
    <row r="27" ht="84.75" customHeight="1" s="70">
      <c r="A27" s="90" t="inlineStr">
        <is>
          <t>Insight  |  Decision tree applied across 13 SaaS verticals produces 5 outcome/effort-priced verticals (CS, legal doc, finance back-office, coding, manufacturing) and 5 seat-priced verticals (legal advisory, healthcare, productivity, education, government); 3 hybrid in the middle. The pattern: outcome pricing wins where AI ACTUALLY replaces a clean task unit; seat pricing wins where AI augments human judgment. This is the operational formalisation of the LinkedIn thesis.</t>
        </is>
      </c>
    </row>
    <row r="28" ht="27.75" customHeight="1" s="70">
      <c r="A28" s="77" t="inlineStr">
        <is>
          <t xml:space="preserve">Source  |  Synthesis of S01–S12, ST01–ST10, V01–V05 in this pack  —  </t>
        </is>
      </c>
    </row>
    <row r="29" ht="27.75" customHeight="1" s="70">
      <c r="A29" s="77" t="inlineStr">
        <is>
          <t xml:space="preserve">Source  |  Maciej Wilczyński (Valueships) — replaceability-as-gate axiom  —  </t>
        </is>
      </c>
    </row>
    <row r="30" ht="27.75" customHeight="1" s="70">
      <c r="A30" s="77" t="inlineStr">
        <is>
          <t>Source  |  Valueships — AI pricing 8 SaaS trends 2025  —  https://www.valueships.com/post/ai-pricing-8-biggest-saas-trends-in-2025</t>
        </is>
      </c>
    </row>
  </sheetData>
  <mergeCells count="6">
    <mergeCell ref="A30:H30"/>
    <mergeCell ref="A29:H29"/>
    <mergeCell ref="A2:H2"/>
    <mergeCell ref="A28:H28"/>
    <mergeCell ref="A1:H1"/>
    <mergeCell ref="A27:H27"/>
  </mergeCells>
  <hyperlinks>
    <hyperlink xmlns:r="http://schemas.openxmlformats.org/officeDocument/2006/relationships" ref="A30" display="Source  |  Valueships — AI pricing 8 SaaS trends 2025  —  https://www.valueships.com/post/ai-pricing-8-biggest-saas-trends-in-2025"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4.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22" customWidth="1" style="70" min="1" max="1"/>
    <col width="22" customWidth="1" style="70" min="2" max="2"/>
    <col width="22" customWidth="1" style="70" min="3" max="3"/>
    <col width="22" customWidth="1" style="70" min="4" max="4"/>
    <col width="22" customWidth="1" style="70" min="5" max="5"/>
    <col width="14" customWidth="1" style="70" min="6" max="6"/>
    <col width="14" customWidth="1" style="70" min="7" max="7"/>
    <col width="14" customWidth="1" style="70" min="8" max="8"/>
    <col width="14" customWidth="1" style="70" min="9" max="9"/>
    <col width="14" customWidth="1" style="70" min="10" max="10"/>
  </cols>
  <sheetData>
    <row r="1" ht="32" customHeight="1" s="70">
      <c r="A1" s="125" t="inlineStr">
        <is>
          <t>VPQ01  |  Valueships VII Pricing Quadrant™ — proprietary 2x2 connecting VII to monetisation model</t>
        </is>
      </c>
    </row>
    <row r="2" ht="22" customHeight="1" s="70">
      <c r="A2" s="126" t="inlineStr">
        <is>
          <t>Axes: VII (Valueships Value Increase Index) × Revenue Attribution clarity. Outputs: defensible pricing model per quadrant.</t>
        </is>
      </c>
    </row>
    <row r="4" ht="22" customHeight="1" s="70">
      <c r="A4" s="162" t="inlineStr">
        <is>
          <t>DEFINITION — The Valueships VII Pricing Quadrant™</t>
        </is>
      </c>
    </row>
    <row r="5" ht="22" customHeight="1" s="70">
      <c r="A5" s="163" t="inlineStr">
        <is>
          <t>Axes:  X = Valueships VII (computed in IDX01).  Y = Revenue Attribution (how cleanly a single outcome unit can be traced back to the product).</t>
        </is>
      </c>
    </row>
    <row r="6" ht="22" customHeight="1" s="70">
      <c r="A6" s="163" t="inlineStr">
        <is>
          <t>Quadrants (proprietary names):  Outcome Zone, Effort Zone, Premium Zone, Subscription Zone.</t>
        </is>
      </c>
    </row>
    <row r="7" ht="22" customHeight="1" s="70">
      <c r="A7" s="163" t="inlineStr">
        <is>
          <t>Use:  Plot a sector's VII (from IDX01) and Revenue Attribution score (qualitative HIGH/MED/LOW) → quadrant → recommended pricing model.</t>
        </is>
      </c>
    </row>
    <row r="8" ht="22" customHeight="1" s="70">
      <c r="A8" s="163" t="inlineStr">
        <is>
          <t>Origin:  Synthesised from VII (IDX01) + Replaceability axis (PR01) + Anderson-Narus / Hinterhuber value-frame asymmetry (VI02). Proprietary to Valueships.</t>
        </is>
      </c>
    </row>
    <row r="10" ht="22" customHeight="1" s="70">
      <c r="A10" s="162" t="inlineStr">
        <is>
          <t>THE 2x2  —  rendered as a heatmap</t>
        </is>
      </c>
    </row>
    <row r="11" ht="28" customHeight="1" s="70">
      <c r="A11" s="164" t="inlineStr">
        <is>
          <t>VII →</t>
        </is>
      </c>
      <c r="B11" s="164" t="inlineStr">
        <is>
          <t>LOW VII (&lt;15 %)</t>
        </is>
      </c>
      <c r="C11" s="187" t="n"/>
      <c r="D11" s="187" t="n"/>
      <c r="E11" s="188" t="n"/>
      <c r="F11" s="164" t="inlineStr">
        <is>
          <t>HIGH VII (≥15 %)</t>
        </is>
      </c>
      <c r="G11" s="187" t="n"/>
      <c r="H11" s="187" t="n"/>
      <c r="I11" s="188" t="n"/>
    </row>
    <row r="12" ht="30" customHeight="1" s="70">
      <c r="A12" s="164" t="inlineStr">
        <is>
          <t>↑ HIGH attribution
(clean outcome unit;
revenue-side traceable)</t>
        </is>
      </c>
      <c r="B12" s="165" t="inlineStr">
        <is>
          <t>PREMIUM ZONE
LOW VII × HIGH attribution
Pricing model:
Premium per-seat + revenue-share bonus on the attributable wins
Example sectors:
• Senior legal advisory (VII 8.6 %)
• Sales enablement (revenue-attributable but VII modest)
Strategy:
Value is access to scarce capability; capture comes from the small share that hits revenue cleanly.</t>
        </is>
      </c>
      <c r="C12" s="189" t="n"/>
      <c r="D12" s="189" t="n"/>
      <c r="E12" s="190" t="n"/>
      <c r="F12" s="166" t="inlineStr">
        <is>
          <t>OUTCOME ZONE  ★
HIGH VII × HIGH attribution
Pricing model:
OUTCOME-BASED — per resolution, per deal, per matter, gainsharing
Example sectors:
• Finance back-office (VII 28.6 %)
• Legal doc review (VII 24.6 %)
• Customer support tier-1 (Intercom Fin proof)
• Marketing creative (VII 25.5 %)
Strategy:
Vendor captures 30–50 % of created value. The defensible 'AI replaces work' pricing zone.</t>
        </is>
      </c>
      <c r="G12" s="189" t="n"/>
      <c r="H12" s="189" t="n"/>
      <c r="I12" s="190" t="n"/>
    </row>
    <row r="13" ht="30" customHeight="1" s="70">
      <c r="A13" s="191" t="n"/>
      <c r="B13" s="192" t="n"/>
      <c r="E13" s="193" t="n"/>
      <c r="F13" s="192" t="n"/>
      <c r="I13" s="193" t="n"/>
    </row>
    <row r="14" ht="30" customHeight="1" s="70">
      <c r="A14" s="191" t="n"/>
      <c r="B14" s="192" t="n"/>
      <c r="E14" s="193" t="n"/>
      <c r="F14" s="192" t="n"/>
      <c r="I14" s="193" t="n"/>
    </row>
    <row r="15" ht="30" customHeight="1" s="70">
      <c r="A15" s="191" t="n"/>
      <c r="B15" s="192" t="n"/>
      <c r="E15" s="193" t="n"/>
      <c r="F15" s="192" t="n"/>
      <c r="I15" s="193" t="n"/>
    </row>
    <row r="16" ht="30" customHeight="1" s="70">
      <c r="A16" s="191" t="n"/>
      <c r="B16" s="192" t="n"/>
      <c r="E16" s="193" t="n"/>
      <c r="F16" s="192" t="n"/>
      <c r="I16" s="193" t="n"/>
    </row>
    <row r="17" ht="30" customHeight="1" s="70">
      <c r="A17" s="194" t="n"/>
      <c r="B17" s="195" t="n"/>
      <c r="C17" s="196" t="n"/>
      <c r="D17" s="196" t="n"/>
      <c r="E17" s="197" t="n"/>
      <c r="F17" s="195" t="n"/>
      <c r="G17" s="196" t="n"/>
      <c r="H17" s="196" t="n"/>
      <c r="I17" s="197" t="n"/>
    </row>
    <row r="18" ht="30" customHeight="1" s="70">
      <c r="A18" s="164" t="inlineStr">
        <is>
          <t>↓ LOW attribution
(diffuse outcome;
multi-driver)</t>
        </is>
      </c>
      <c r="B18" s="167" t="inlineStr">
        <is>
          <t>SUBSCRIPTION ZONE
LOW VII × LOW attribution
Pricing model:
PER-SEAT with usage cap; predictable subscription
Example sectors:
• Education (VII 7.4 %)
• Government (VII 9.3 %)
• Generic productivity assistants
• Strategic planning tools
Strategy:
Value is access to capability, not units. Capture only 5–10 % of VII; don't over-promise.</t>
        </is>
      </c>
      <c r="C18" s="189" t="n"/>
      <c r="D18" s="189" t="n"/>
      <c r="E18" s="190" t="n"/>
      <c r="F18" s="168" t="inlineStr">
        <is>
          <t>EFFORT ZONE
HIGH VII × LOW attribution
Pricing model:
CREDIT / EFFORT / CONSUMPTION-based — tokens, compute, complexity units
Example sectors:
• Software development (VII 21.6 %, mixed attribution)
• Consulting (VII 20.5 %)
• TMT IT (VII 17.8 %)
• Healthcare clinical (VII 15.5 %)
Strategy:
Variable work × variable price. Captures 10–25 % of VII without attribution risk.</t>
        </is>
      </c>
      <c r="G18" s="189" t="n"/>
      <c r="H18" s="189" t="n"/>
      <c r="I18" s="190" t="n"/>
    </row>
    <row r="19" ht="30" customHeight="1" s="70">
      <c r="A19" s="191" t="n"/>
      <c r="B19" s="192" t="n"/>
      <c r="E19" s="193" t="n"/>
      <c r="F19" s="192" t="n"/>
      <c r="I19" s="193" t="n"/>
    </row>
    <row r="20" ht="30" customHeight="1" s="70">
      <c r="A20" s="191" t="n"/>
      <c r="B20" s="192" t="n"/>
      <c r="E20" s="193" t="n"/>
      <c r="F20" s="192" t="n"/>
      <c r="I20" s="193" t="n"/>
    </row>
    <row r="21" ht="30" customHeight="1" s="70">
      <c r="A21" s="191" t="n"/>
      <c r="B21" s="192" t="n"/>
      <c r="E21" s="193" t="n"/>
      <c r="F21" s="192" t="n"/>
      <c r="I21" s="193" t="n"/>
    </row>
    <row r="22" ht="30" customHeight="1" s="70">
      <c r="A22" s="191" t="n"/>
      <c r="B22" s="192" t="n"/>
      <c r="E22" s="193" t="n"/>
      <c r="F22" s="192" t="n"/>
      <c r="I22" s="193" t="n"/>
    </row>
    <row r="23" ht="30" customHeight="1" s="70">
      <c r="A23" s="194" t="n"/>
      <c r="B23" s="195" t="n"/>
      <c r="C23" s="196" t="n"/>
      <c r="D23" s="196" t="n"/>
      <c r="E23" s="197" t="n"/>
      <c r="F23" s="195" t="n"/>
      <c r="G23" s="196" t="n"/>
      <c r="H23" s="196" t="n"/>
      <c r="I23" s="197" t="n"/>
    </row>
    <row r="25" ht="22" customHeight="1" s="70">
      <c r="A25" s="162" t="inlineStr">
        <is>
          <t>QUADRANT SUMMARY  —  pricing decisions at a glance</t>
        </is>
      </c>
    </row>
    <row r="26">
      <c r="A26" s="128" t="inlineStr">
        <is>
          <t>Quadrant</t>
        </is>
      </c>
      <c r="B26" s="128" t="inlineStr">
        <is>
          <t>VII trigger</t>
        </is>
      </c>
      <c r="C26" s="128" t="inlineStr">
        <is>
          <t>Attribution trigger</t>
        </is>
      </c>
      <c r="D26" s="128" t="inlineStr">
        <is>
          <t>Pricing model</t>
        </is>
      </c>
      <c r="E26" s="128" t="inlineStr">
        <is>
          <t>Capture rate</t>
        </is>
      </c>
      <c r="F26" s="128" t="inlineStr">
        <is>
          <t>Vendor strategy</t>
        </is>
      </c>
    </row>
    <row r="27">
      <c r="A27" s="169" t="inlineStr">
        <is>
          <t>OUTCOME ZONE ★</t>
        </is>
      </c>
      <c r="B27" s="130" t="inlineStr">
        <is>
          <t>≥ 15 %</t>
        </is>
      </c>
      <c r="C27" s="130" t="inlineStr">
        <is>
          <t>HIGH</t>
        </is>
      </c>
      <c r="D27" s="130" t="inlineStr">
        <is>
          <t>Outcome-based / gainsharing</t>
        </is>
      </c>
      <c r="E27" s="130" t="inlineStr">
        <is>
          <t>30–50 %</t>
        </is>
      </c>
      <c r="F27" s="130" t="inlineStr">
        <is>
          <t>Lead with revenue-side reframe; insist on attributable unit; require buyer data discipline</t>
        </is>
      </c>
    </row>
    <row r="28">
      <c r="A28" s="170" t="inlineStr">
        <is>
          <t>EFFORT ZONE</t>
        </is>
      </c>
      <c r="B28" s="132" t="inlineStr">
        <is>
          <t>≥ 15 %</t>
        </is>
      </c>
      <c r="C28" s="132" t="inlineStr">
        <is>
          <t>LOW</t>
        </is>
      </c>
      <c r="D28" s="132" t="inlineStr">
        <is>
          <t>Credit / effort / consumption</t>
        </is>
      </c>
      <c r="E28" s="132" t="inlineStr">
        <is>
          <t>10–25 %</t>
        </is>
      </c>
      <c r="F28" s="132" t="inlineStr">
        <is>
          <t>Charge for variable work units; layer base fee for predictability</t>
        </is>
      </c>
    </row>
    <row r="29">
      <c r="A29" s="171" t="inlineStr">
        <is>
          <t>PREMIUM ZONE</t>
        </is>
      </c>
      <c r="B29" s="130" t="inlineStr">
        <is>
          <t>&lt; 15 %</t>
        </is>
      </c>
      <c r="C29" s="130" t="inlineStr">
        <is>
          <t>HIGH</t>
        </is>
      </c>
      <c r="D29" s="130" t="inlineStr">
        <is>
          <t>Premium per-seat + revenue-share bonus</t>
        </is>
      </c>
      <c r="E29" s="130" t="inlineStr">
        <is>
          <t>10–20 %</t>
        </is>
      </c>
      <c r="F29" s="130" t="inlineStr">
        <is>
          <t>Position as access to scarce capability; price the small share with clean attribution</t>
        </is>
      </c>
    </row>
    <row r="30">
      <c r="A30" s="172" t="inlineStr">
        <is>
          <t>SUBSCRIPTION ZONE</t>
        </is>
      </c>
      <c r="B30" s="132" t="inlineStr">
        <is>
          <t>&lt; 15 %</t>
        </is>
      </c>
      <c r="C30" s="132" t="inlineStr">
        <is>
          <t>LOW</t>
        </is>
      </c>
      <c r="D30" s="132" t="inlineStr">
        <is>
          <t>Per-seat with usage cap</t>
        </is>
      </c>
      <c r="E30" s="132" t="inlineStr">
        <is>
          <t>5–10 %</t>
        </is>
      </c>
      <c r="F30" s="132" t="inlineStr">
        <is>
          <t>Value is access; do not over-promise; volume tier for adoption</t>
        </is>
      </c>
    </row>
    <row r="32" ht="22" customHeight="1" s="70">
      <c r="A32" s="162" t="inlineStr">
        <is>
          <t>VII PRICING QUADRANT APPLIED  —  17 sectors from IDX01</t>
        </is>
      </c>
    </row>
    <row r="33">
      <c r="A33" s="128" t="inlineStr">
        <is>
          <t>Sector (from IDX01)</t>
        </is>
      </c>
      <c r="B33" s="128" t="inlineStr">
        <is>
          <t>VII</t>
        </is>
      </c>
      <c r="C33" s="128" t="inlineStr">
        <is>
          <t>Attribution (judgment)</t>
        </is>
      </c>
      <c r="D33" s="128" t="inlineStr">
        <is>
          <t>Quadrant</t>
        </is>
      </c>
      <c r="E33" s="128" t="inlineStr">
        <is>
          <t>Pricing model</t>
        </is>
      </c>
    </row>
    <row r="34">
      <c r="A34" s="129" t="inlineStr">
        <is>
          <t>Finance — back office / ops</t>
        </is>
      </c>
      <c r="B34" s="130" t="inlineStr">
        <is>
          <t>28.6 %</t>
        </is>
      </c>
      <c r="C34" s="130" t="inlineStr">
        <is>
          <t>HIGH (transaction unit)</t>
        </is>
      </c>
      <c r="D34" s="173" t="inlineStr">
        <is>
          <t>OUTCOME ZONE</t>
        </is>
      </c>
      <c r="E34" s="130" t="inlineStr">
        <is>
          <t>Per-transaction / gainsharing</t>
        </is>
      </c>
    </row>
    <row r="35">
      <c r="A35" s="131" t="inlineStr">
        <is>
          <t>Writing / Marketing creative</t>
        </is>
      </c>
      <c r="B35" s="132" t="inlineStr">
        <is>
          <t>25.5 %</t>
        </is>
      </c>
      <c r="C35" s="132" t="inlineStr">
        <is>
          <t>MED (multi-driver)</t>
        </is>
      </c>
      <c r="D35" s="173" t="inlineStr">
        <is>
          <t>EFFORT → OUTCOME</t>
        </is>
      </c>
      <c r="E35" s="132" t="inlineStr">
        <is>
          <t>Credit-based + outcome bonus on conversion</t>
        </is>
      </c>
    </row>
    <row r="36">
      <c r="A36" s="129" t="inlineStr">
        <is>
          <t>Manufacturing (lighthouses)</t>
        </is>
      </c>
      <c r="B36" s="130" t="inlineStr">
        <is>
          <t>24.8 %</t>
        </is>
      </c>
      <c r="C36" s="130" t="inlineStr">
        <is>
          <t>HIGH (yield, defect)</t>
        </is>
      </c>
      <c r="D36" s="173" t="inlineStr">
        <is>
          <t>OUTCOME ZONE</t>
        </is>
      </c>
      <c r="E36" s="130" t="inlineStr">
        <is>
          <t>Gainsharing on yield / defect KPI</t>
        </is>
      </c>
    </row>
    <row r="37">
      <c r="A37" s="131" t="inlineStr">
        <is>
          <t>Legal — document review</t>
        </is>
      </c>
      <c r="B37" s="132" t="inlineStr">
        <is>
          <t>24.6 %</t>
        </is>
      </c>
      <c r="C37" s="132" t="inlineStr">
        <is>
          <t>HIGH (per matter)</t>
        </is>
      </c>
      <c r="D37" s="173" t="inlineStr">
        <is>
          <t>OUTCOME ZONE</t>
        </is>
      </c>
      <c r="E37" s="132" t="inlineStr">
        <is>
          <t>Per-document / per-matter</t>
        </is>
      </c>
    </row>
    <row r="38">
      <c r="A38" s="129" t="inlineStr">
        <is>
          <t>Software development</t>
        </is>
      </c>
      <c r="B38" s="130" t="inlineStr">
        <is>
          <t>21.6 %</t>
        </is>
      </c>
      <c r="C38" s="130" t="inlineStr">
        <is>
          <t>LOW (multi-driver)</t>
        </is>
      </c>
      <c r="D38" s="174" t="inlineStr">
        <is>
          <t>EFFORT ZONE</t>
        </is>
      </c>
      <c r="E38" s="130" t="inlineStr">
        <is>
          <t>Effort / credit / ACU</t>
        </is>
      </c>
    </row>
    <row r="39">
      <c r="A39" s="131" t="inlineStr">
        <is>
          <t>Consulting / Professional services</t>
        </is>
      </c>
      <c r="B39" s="132" t="inlineStr">
        <is>
          <t>20.5 %</t>
        </is>
      </c>
      <c r="C39" s="132" t="inlineStr">
        <is>
          <t>LOW (multi-driver)</t>
        </is>
      </c>
      <c r="D39" s="174" t="inlineStr">
        <is>
          <t>EFFORT ZONE</t>
        </is>
      </c>
      <c r="E39" s="132" t="inlineStr">
        <is>
          <t>Hybrid base + credits</t>
        </is>
      </c>
    </row>
    <row r="40">
      <c r="A40" s="129" t="inlineStr">
        <is>
          <t>TMT — IT functions</t>
        </is>
      </c>
      <c r="B40" s="130" t="inlineStr">
        <is>
          <t>17.8 %</t>
        </is>
      </c>
      <c r="C40" s="130" t="inlineStr">
        <is>
          <t>LOW</t>
        </is>
      </c>
      <c r="D40" s="174" t="inlineStr">
        <is>
          <t>EFFORT ZONE</t>
        </is>
      </c>
      <c r="E40" s="130" t="inlineStr">
        <is>
          <t>Consumption / token-based</t>
        </is>
      </c>
    </row>
    <row r="41">
      <c r="A41" s="131" t="inlineStr">
        <is>
          <t>Sales</t>
        </is>
      </c>
      <c r="B41" s="132" t="inlineStr">
        <is>
          <t>15.6 %</t>
        </is>
      </c>
      <c r="C41" s="132" t="inlineStr">
        <is>
          <t>HIGH (conversion)</t>
        </is>
      </c>
      <c r="D41" s="173" t="inlineStr">
        <is>
          <t>OUTCOME ZONE</t>
        </is>
      </c>
      <c r="E41" s="132" t="inlineStr">
        <is>
          <t>Win-bonus + per-rep base</t>
        </is>
      </c>
    </row>
    <row r="42">
      <c r="A42" s="129" t="inlineStr">
        <is>
          <t>Financial services (overall)</t>
        </is>
      </c>
      <c r="B42" s="130" t="inlineStr">
        <is>
          <t>15.6 %</t>
        </is>
      </c>
      <c r="C42" s="130" t="inlineStr">
        <is>
          <t>HIGH (revenue)</t>
        </is>
      </c>
      <c r="D42" s="173" t="inlineStr">
        <is>
          <t>OUTCOME ZONE</t>
        </is>
      </c>
      <c r="E42" s="130" t="inlineStr">
        <is>
          <t>Performance-banded subscription</t>
        </is>
      </c>
    </row>
    <row r="43">
      <c r="A43" s="131" t="inlineStr">
        <is>
          <t>Healthcare — clinical (scribes)</t>
        </is>
      </c>
      <c r="B43" s="132" t="inlineStr">
        <is>
          <t>15.5 %</t>
        </is>
      </c>
      <c r="C43" s="132" t="inlineStr">
        <is>
          <t>MED (per-encounter)</t>
        </is>
      </c>
      <c r="D43" s="173" t="inlineStr">
        <is>
          <t>EFFORT → OUTCOME</t>
        </is>
      </c>
      <c r="E43" s="132" t="inlineStr">
        <is>
          <t>Per-encounter / per-clinician hybrid</t>
        </is>
      </c>
    </row>
    <row r="44">
      <c r="A44" s="129" t="inlineStr">
        <is>
          <t>Customer service / support</t>
        </is>
      </c>
      <c r="B44" s="130" t="inlineStr">
        <is>
          <t>13.4 %</t>
        </is>
      </c>
      <c r="C44" s="130" t="inlineStr">
        <is>
          <t>HIGH (resolution)</t>
        </is>
      </c>
      <c r="D44" s="175" t="inlineStr">
        <is>
          <t>PREMIUM ZONE</t>
        </is>
      </c>
      <c r="E44" s="130" t="inlineStr">
        <is>
          <t>Outcome per resolution (Intercom Fin pattern)</t>
        </is>
      </c>
    </row>
    <row r="45">
      <c r="A45" s="131" t="inlineStr">
        <is>
          <t>Consumer &amp; Retail — sales/ops</t>
        </is>
      </c>
      <c r="B45" s="132" t="inlineStr">
        <is>
          <t>13.2 %</t>
        </is>
      </c>
      <c r="C45" s="132" t="inlineStr">
        <is>
          <t>HIGH (revenue)</t>
        </is>
      </c>
      <c r="D45" s="175" t="inlineStr">
        <is>
          <t>PREMIUM ZONE</t>
        </is>
      </c>
      <c r="E45" s="132" t="inlineStr">
        <is>
          <t>Performance tier on conversion</t>
        </is>
      </c>
    </row>
    <row r="46">
      <c r="A46" s="129" t="inlineStr">
        <is>
          <t>AEC / Construction</t>
        </is>
      </c>
      <c r="B46" s="130" t="inlineStr">
        <is>
          <t>12.2 %</t>
        </is>
      </c>
      <c r="C46" s="130" t="inlineStr">
        <is>
          <t>LOW</t>
        </is>
      </c>
      <c r="D46" s="176" t="inlineStr">
        <is>
          <t>SUBSCRIPTION ZONE</t>
        </is>
      </c>
      <c r="E46" s="130" t="inlineStr">
        <is>
          <t>Per-seat / per-project</t>
        </is>
      </c>
    </row>
    <row r="47">
      <c r="A47" s="131" t="inlineStr">
        <is>
          <t>Manufacturing (avg plant)</t>
        </is>
      </c>
      <c r="B47" s="132" t="inlineStr">
        <is>
          <t>9.9 %</t>
        </is>
      </c>
      <c r="C47" s="132" t="inlineStr">
        <is>
          <t>MED (yield)</t>
        </is>
      </c>
      <c r="D47" s="176" t="inlineStr">
        <is>
          <t>SUBSCRIPTION ZONE</t>
        </is>
      </c>
      <c r="E47" s="132" t="inlineStr">
        <is>
          <t>Per-line subscription + outcome bonus</t>
        </is>
      </c>
    </row>
    <row r="48">
      <c r="A48" s="129" t="inlineStr">
        <is>
          <t>Government / Public sector</t>
        </is>
      </c>
      <c r="B48" s="130" t="inlineStr">
        <is>
          <t>9.3 %</t>
        </is>
      </c>
      <c r="C48" s="130" t="inlineStr">
        <is>
          <t>LOW</t>
        </is>
      </c>
      <c r="D48" s="176" t="inlineStr">
        <is>
          <t>SUBSCRIPTION ZONE</t>
        </is>
      </c>
      <c r="E48" s="130" t="inlineStr">
        <is>
          <t>Per-seat volume tier</t>
        </is>
      </c>
    </row>
    <row r="49">
      <c r="A49" s="131" t="inlineStr">
        <is>
          <t>Legal — advisory (senior)</t>
        </is>
      </c>
      <c r="B49" s="132" t="inlineStr">
        <is>
          <t>8.6 %</t>
        </is>
      </c>
      <c r="C49" s="132" t="inlineStr">
        <is>
          <t>MED (per-deal)</t>
        </is>
      </c>
      <c r="D49" s="175" t="inlineStr">
        <is>
          <t>PREMIUM ZONE</t>
        </is>
      </c>
      <c r="E49" s="132" t="inlineStr">
        <is>
          <t>Premium per-seat + deal bonus</t>
        </is>
      </c>
    </row>
    <row r="50">
      <c r="A50" s="129" t="inlineStr">
        <is>
          <t>Education</t>
        </is>
      </c>
      <c r="B50" s="130" t="inlineStr">
        <is>
          <t>7.4 %</t>
        </is>
      </c>
      <c r="C50" s="130" t="inlineStr">
        <is>
          <t>LOW</t>
        </is>
      </c>
      <c r="D50" s="176" t="inlineStr">
        <is>
          <t>SUBSCRIPTION ZONE</t>
        </is>
      </c>
      <c r="E50" s="130" t="inlineStr">
        <is>
          <t>Per-student / per-teacher seat</t>
        </is>
      </c>
    </row>
    <row r="52" ht="110" customHeight="1" s="70">
      <c r="A52" s="133" t="inlineStr">
        <is>
          <t>Insight  |  The Valueships VII Pricing Quadrant™ is THE master pricing-model decision framework of this dossier. Two axes — VII (computed in IDX01) and Revenue Attribution (judgment-based). Four quadrants — Outcome, Effort, Premium, Subscription — each with a defensible pricing model, capture rate, and vendor strategy. Applied across 17 sectors, the quadrant produces a clean recommendation per sector: 6 OUTCOME, 4 EFFORT, 3 PREMIUM, 4 SUBSCRIPTION. This is a proprietary framework — built on top of the Valueships VII™ index, calibrated to the buyer-preference data (Statista ST08) and the value-frame asymmetry (VI02). Use as the single decision tool in client engagements.</t>
        </is>
      </c>
    </row>
    <row r="53" ht="28" customHeight="1" s="70">
      <c r="A53" s="163" t="inlineStr">
        <is>
          <t>Source  |  Valueships VII Pricing Quadrant™ — proprietary framework</t>
        </is>
      </c>
    </row>
    <row r="54" ht="28" customHeight="1" s="70">
      <c r="A54" s="163" t="inlineStr">
        <is>
          <t>Source  |  Inputs:  IDX01 (VII calculator), PR01 (Replaceability × Attribution matrix), VI02 (cost vs revenue framing asymmetry), ST08 (buyer pricing preferences)</t>
        </is>
      </c>
    </row>
    <row r="55" ht="28" customHeight="1" s="70">
      <c r="A55" s="134" t="inlineStr">
        <is>
          <t>Source  |  Statista 1620734 — Preferred pricing models for agentic AI  —  https://www.statista.com/statistics/1620734/adoption-of-pricing-models-for-agentic-ai-tools/</t>
        </is>
      </c>
    </row>
  </sheetData>
  <mergeCells count="22">
    <mergeCell ref="A5:J5"/>
    <mergeCell ref="A32:J32"/>
    <mergeCell ref="A8:J8"/>
    <mergeCell ref="A53:J53"/>
    <mergeCell ref="A4:J4"/>
    <mergeCell ref="A52:J52"/>
    <mergeCell ref="A10:J10"/>
    <mergeCell ref="B18:E23"/>
    <mergeCell ref="B12:E17"/>
    <mergeCell ref="F11:I11"/>
    <mergeCell ref="F12:I17"/>
    <mergeCell ref="F18:I23"/>
    <mergeCell ref="A1:J1"/>
    <mergeCell ref="A12:A17"/>
    <mergeCell ref="A18:A23"/>
    <mergeCell ref="A6:J6"/>
    <mergeCell ref="A7:J7"/>
    <mergeCell ref="B11:E11"/>
    <mergeCell ref="A54:J54"/>
    <mergeCell ref="A25:J25"/>
    <mergeCell ref="A55:J55"/>
    <mergeCell ref="A2:J2"/>
  </mergeCells>
  <hyperlinks>
    <hyperlink xmlns:r="http://schemas.openxmlformats.org/officeDocument/2006/relationships" ref="A55"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2026-05-13T04:14:53Z</dcterms:created>
  <dcterms:modified xmlns:dcterms="http://purl.org/dc/terms/" xmlns:xsi="http://www.w3.org/2001/XMLSchema-instance" xsi:type="dcterms:W3CDTF">2026-05-18T05:02:23Z</dcterms:modified>
  <cp:revision>2</cp:revision>
</cp:coreProperties>
</file>